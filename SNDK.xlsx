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ranc\Desktop\Models for sharing\"/>
    </mc:Choice>
  </mc:AlternateContent>
  <xr:revisionPtr revIDLastSave="0" documentId="13_ncr:1_{46826E60-9605-416F-B0F4-CE71A8E2095E}" xr6:coauthVersionLast="36" xr6:coauthVersionMax="36" xr10:uidLastSave="{00000000-0000-0000-0000-000000000000}"/>
  <bookViews>
    <workbookView xWindow="0" yWindow="0" windowWidth="23040" windowHeight="8196" activeTab="3" xr2:uid="{00000000-000D-0000-FFFF-FFFF00000000}"/>
  </bookViews>
  <sheets>
    <sheet name="Model" sheetId="1" r:id="rId1"/>
    <sheet name="Drivers" sheetId="2" r:id="rId2"/>
    <sheet name="Scenarios" sheetId="3" r:id="rId3"/>
    <sheet name="DCF" sheetId="4" r:id="rId4"/>
    <sheet name="Reverse DCF" sheetId="5" r:id="rId5"/>
    <sheet name="Monte Carlo" sheetId="6" r:id="rId6"/>
    <sheet name="Comps" sheetId="7" r:id="rId7"/>
    <sheet name="Multiples" sheetId="8" r:id="rId8"/>
  </sheets>
  <calcPr calcId="191029"/>
</workbook>
</file>

<file path=xl/calcChain.xml><?xml version="1.0" encoding="utf-8"?>
<calcChain xmlns="http://schemas.openxmlformats.org/spreadsheetml/2006/main">
  <c r="G44" i="8" l="1"/>
  <c r="B53" i="8" s="1"/>
  <c r="F44" i="8"/>
  <c r="B52" i="8" s="1"/>
  <c r="E44" i="8"/>
  <c r="B51" i="8" s="1"/>
  <c r="B26" i="5"/>
  <c r="B25" i="5"/>
  <c r="B24" i="5"/>
  <c r="B23" i="5"/>
  <c r="B22" i="5"/>
  <c r="B21" i="5"/>
  <c r="B80" i="4"/>
  <c r="B81" i="4" s="1"/>
  <c r="B78" i="4"/>
  <c r="B77" i="4"/>
  <c r="C59" i="4"/>
  <c r="C57" i="4"/>
  <c r="C58" i="4" s="1"/>
  <c r="I54" i="4"/>
  <c r="H54" i="4"/>
  <c r="G54" i="4"/>
  <c r="F54" i="4"/>
  <c r="E54" i="4"/>
  <c r="D54" i="4"/>
  <c r="C54" i="4"/>
  <c r="C55" i="4" s="1"/>
  <c r="J10" i="3"/>
  <c r="I10" i="3"/>
  <c r="H10" i="3"/>
  <c r="G10" i="3"/>
  <c r="F10" i="3"/>
  <c r="E10" i="3"/>
  <c r="D10" i="3"/>
  <c r="C10" i="3"/>
  <c r="B10" i="3"/>
  <c r="S8" i="2"/>
  <c r="R8" i="2"/>
  <c r="R4" i="1" s="1"/>
  <c r="R23" i="1" s="1"/>
  <c r="Q8" i="2"/>
  <c r="Q4" i="1" s="1"/>
  <c r="P8" i="2"/>
  <c r="O8" i="2"/>
  <c r="O4" i="1" s="1"/>
  <c r="N8" i="2"/>
  <c r="N4" i="1" s="1"/>
  <c r="M8" i="2"/>
  <c r="M4" i="1" s="1"/>
  <c r="L8" i="2"/>
  <c r="K8" i="2"/>
  <c r="J8" i="2"/>
  <c r="I8" i="2"/>
  <c r="H8" i="2"/>
  <c r="T8" i="2" s="1"/>
  <c r="G8" i="2"/>
  <c r="F8" i="2"/>
  <c r="E8" i="2"/>
  <c r="D8" i="2"/>
  <c r="C8" i="2"/>
  <c r="B8" i="2"/>
  <c r="V7" i="2"/>
  <c r="U7" i="2"/>
  <c r="T7" i="2"/>
  <c r="V6" i="2"/>
  <c r="U6" i="2"/>
  <c r="T6" i="2"/>
  <c r="V5" i="2"/>
  <c r="U5" i="2"/>
  <c r="T5" i="2"/>
  <c r="V4" i="2"/>
  <c r="U4" i="2"/>
  <c r="T4" i="2"/>
  <c r="B56" i="1"/>
  <c r="B55" i="1"/>
  <c r="B50" i="1"/>
  <c r="B49" i="1"/>
  <c r="B48" i="1"/>
  <c r="C45" i="1"/>
  <c r="B45" i="1"/>
  <c r="D41" i="1"/>
  <c r="B41" i="1"/>
  <c r="I39" i="1"/>
  <c r="I41" i="1" s="1"/>
  <c r="H39" i="1"/>
  <c r="H41" i="1" s="1"/>
  <c r="G39" i="1"/>
  <c r="G41" i="1" s="1"/>
  <c r="F39" i="1"/>
  <c r="F41" i="1" s="1"/>
  <c r="E39" i="1"/>
  <c r="E41" i="1" s="1"/>
  <c r="C39" i="1"/>
  <c r="C41" i="1" s="1"/>
  <c r="I32" i="1"/>
  <c r="H32" i="1"/>
  <c r="G32" i="1"/>
  <c r="F32" i="1"/>
  <c r="E32" i="1"/>
  <c r="D32" i="1"/>
  <c r="C32" i="1"/>
  <c r="B32" i="1"/>
  <c r="M25" i="1"/>
  <c r="I25" i="1"/>
  <c r="H25" i="1"/>
  <c r="G25" i="1"/>
  <c r="F25" i="1"/>
  <c r="E25" i="1"/>
  <c r="D25" i="1"/>
  <c r="C25" i="1"/>
  <c r="B25" i="1"/>
  <c r="I24" i="1"/>
  <c r="H24" i="1"/>
  <c r="G24" i="1"/>
  <c r="F24" i="1"/>
  <c r="E24" i="1"/>
  <c r="D24" i="1"/>
  <c r="C24" i="1"/>
  <c r="B24" i="1"/>
  <c r="O23" i="1"/>
  <c r="K23" i="1"/>
  <c r="M22" i="1"/>
  <c r="K22" i="1"/>
  <c r="K24" i="1" s="1"/>
  <c r="J22" i="1"/>
  <c r="F20" i="1"/>
  <c r="E20" i="1"/>
  <c r="D20" i="1"/>
  <c r="C20" i="1"/>
  <c r="K19" i="1"/>
  <c r="J19" i="1"/>
  <c r="I19" i="1"/>
  <c r="H19" i="1"/>
  <c r="G19" i="1"/>
  <c r="F19" i="1"/>
  <c r="K12" i="1"/>
  <c r="J12" i="1"/>
  <c r="I10" i="1"/>
  <c r="H10" i="1"/>
  <c r="G10" i="1"/>
  <c r="F10" i="1"/>
  <c r="F11" i="1" s="1"/>
  <c r="E10" i="1"/>
  <c r="E11" i="1" s="1"/>
  <c r="D10" i="1"/>
  <c r="D11" i="1" s="1"/>
  <c r="C10" i="1"/>
  <c r="C11" i="1" s="1"/>
  <c r="B10" i="1"/>
  <c r="B11" i="1" s="1"/>
  <c r="R8" i="1"/>
  <c r="O8" i="1"/>
  <c r="M8" i="1"/>
  <c r="K6" i="1"/>
  <c r="J6" i="1"/>
  <c r="I6" i="1"/>
  <c r="H6" i="1"/>
  <c r="G6" i="1"/>
  <c r="G11" i="1" s="1"/>
  <c r="F6" i="1"/>
  <c r="E6" i="1"/>
  <c r="D6" i="1"/>
  <c r="C6" i="1"/>
  <c r="B6" i="1"/>
  <c r="B20" i="1" s="1"/>
  <c r="K5" i="1"/>
  <c r="J5" i="1"/>
  <c r="S4" i="1"/>
  <c r="S9" i="1" s="1"/>
  <c r="K4" i="1"/>
  <c r="K9" i="1" s="1"/>
  <c r="J4" i="1"/>
  <c r="B47" i="1" l="1"/>
  <c r="B54" i="1"/>
  <c r="C53" i="1"/>
  <c r="B53" i="1"/>
  <c r="U8" i="2"/>
  <c r="L4" i="1"/>
  <c r="V8" i="2"/>
  <c r="P4" i="1"/>
  <c r="G20" i="1"/>
  <c r="M9" i="1"/>
  <c r="M19" i="1"/>
  <c r="M12" i="1"/>
  <c r="M23" i="1"/>
  <c r="M24" i="1" s="1"/>
  <c r="C60" i="4"/>
  <c r="C63" i="4"/>
  <c r="C64" i="4" s="1"/>
  <c r="C62" i="4"/>
  <c r="D55" i="4"/>
  <c r="K25" i="1"/>
  <c r="N9" i="1"/>
  <c r="N22" i="1"/>
  <c r="N19" i="1"/>
  <c r="N12" i="1"/>
  <c r="N23" i="1"/>
  <c r="H20" i="1"/>
  <c r="H11" i="1"/>
  <c r="O19" i="1"/>
  <c r="O12" i="1"/>
  <c r="O22" i="1"/>
  <c r="O5" i="1"/>
  <c r="O6" i="1"/>
  <c r="O20" i="1"/>
  <c r="O9" i="1"/>
  <c r="K11" i="1"/>
  <c r="K13" i="1" s="1"/>
  <c r="S22" i="1"/>
  <c r="S24" i="1" s="1"/>
  <c r="S5" i="1"/>
  <c r="S6" i="1" s="1"/>
  <c r="S25" i="1"/>
  <c r="S8" i="1"/>
  <c r="S10" i="1" s="1"/>
  <c r="S19" i="1"/>
  <c r="S12" i="1"/>
  <c r="M5" i="1"/>
  <c r="M6" i="1" s="1"/>
  <c r="B46" i="1"/>
  <c r="I11" i="1"/>
  <c r="I20" i="1"/>
  <c r="Q5" i="1"/>
  <c r="Q6" i="1" s="1"/>
  <c r="Q22" i="1"/>
  <c r="Q9" i="1"/>
  <c r="Q19" i="1"/>
  <c r="Q12" i="1"/>
  <c r="R22" i="1"/>
  <c r="R24" i="1" s="1"/>
  <c r="R5" i="1"/>
  <c r="R6" i="1" s="1"/>
  <c r="R9" i="1"/>
  <c r="R10" i="1" s="1"/>
  <c r="R19" i="1"/>
  <c r="R12" i="1"/>
  <c r="M10" i="1"/>
  <c r="N8" i="1"/>
  <c r="O10" i="1"/>
  <c r="Q23" i="1"/>
  <c r="N5" i="1"/>
  <c r="N6" i="1" s="1"/>
  <c r="Q8" i="1"/>
  <c r="Q10" i="1" s="1"/>
  <c r="S23" i="1"/>
  <c r="C46" i="1"/>
  <c r="J8" i="1"/>
  <c r="K8" i="1"/>
  <c r="K10" i="1" s="1"/>
  <c r="J25" i="1"/>
  <c r="B48" i="8"/>
  <c r="J9" i="1"/>
  <c r="J20" i="1"/>
  <c r="C52" i="1"/>
  <c r="K20" i="1"/>
  <c r="J23" i="1"/>
  <c r="J24" i="1" s="1"/>
  <c r="C68" i="4" l="1"/>
  <c r="C65" i="4"/>
  <c r="N20" i="1"/>
  <c r="C50" i="1"/>
  <c r="C56" i="1"/>
  <c r="S20" i="1"/>
  <c r="S11" i="1"/>
  <c r="S13" i="1" s="1"/>
  <c r="R11" i="1"/>
  <c r="R13" i="1" s="1"/>
  <c r="R20" i="1"/>
  <c r="Q11" i="1"/>
  <c r="Q13" i="1" s="1"/>
  <c r="Q20" i="1"/>
  <c r="M11" i="1"/>
  <c r="M13" i="1" s="1"/>
  <c r="M20" i="1"/>
  <c r="P19" i="1"/>
  <c r="P12" i="1"/>
  <c r="P22" i="1"/>
  <c r="P5" i="1"/>
  <c r="E52" i="1"/>
  <c r="P6" i="1"/>
  <c r="E53" i="1"/>
  <c r="P20" i="1"/>
  <c r="P9" i="1"/>
  <c r="P23" i="1"/>
  <c r="P8" i="1"/>
  <c r="E45" i="1"/>
  <c r="Q24" i="1"/>
  <c r="Q25" i="1"/>
  <c r="N10" i="1"/>
  <c r="N11" i="1" s="1"/>
  <c r="N13" i="1" s="1"/>
  <c r="D60" i="4"/>
  <c r="D63" i="4"/>
  <c r="D62" i="4"/>
  <c r="E55" i="4"/>
  <c r="D57" i="4"/>
  <c r="D58" i="4" s="1"/>
  <c r="D59" i="4"/>
  <c r="O25" i="1"/>
  <c r="O24" i="1"/>
  <c r="R25" i="1"/>
  <c r="N25" i="1"/>
  <c r="N24" i="1"/>
  <c r="K14" i="1"/>
  <c r="K15" i="1"/>
  <c r="L19" i="1"/>
  <c r="D52" i="1"/>
  <c r="L12" i="1"/>
  <c r="L9" i="1"/>
  <c r="L8" i="1"/>
  <c r="L10" i="1" s="1"/>
  <c r="L23" i="1"/>
  <c r="D45" i="1"/>
  <c r="L6" i="1"/>
  <c r="D53" i="1" s="1"/>
  <c r="L5" i="1"/>
  <c r="L22" i="1"/>
  <c r="O11" i="1"/>
  <c r="O13" i="1" s="1"/>
  <c r="J10" i="1"/>
  <c r="J11" i="1" s="1"/>
  <c r="N14" i="1" l="1"/>
  <c r="N15" i="1" s="1"/>
  <c r="Q14" i="1"/>
  <c r="Q15" i="1" s="1"/>
  <c r="P24" i="1"/>
  <c r="P10" i="1"/>
  <c r="M14" i="1"/>
  <c r="M15" i="1" s="1"/>
  <c r="S14" i="1"/>
  <c r="S15" i="1" s="1"/>
  <c r="J13" i="1"/>
  <c r="C54" i="1"/>
  <c r="O14" i="1"/>
  <c r="O15" i="1" s="1"/>
  <c r="L24" i="1"/>
  <c r="L25" i="1"/>
  <c r="R14" i="1"/>
  <c r="R15" i="1" s="1"/>
  <c r="D46" i="1"/>
  <c r="L11" i="1"/>
  <c r="D64" i="4"/>
  <c r="E46" i="1"/>
  <c r="P11" i="1"/>
  <c r="E63" i="4"/>
  <c r="E60" i="4"/>
  <c r="F55" i="4"/>
  <c r="E57" i="4"/>
  <c r="E58" i="4" s="1"/>
  <c r="E64" i="4" s="1"/>
  <c r="E68" i="4" s="1"/>
  <c r="E62" i="4"/>
  <c r="E59" i="4"/>
  <c r="L20" i="1"/>
  <c r="P25" i="1"/>
  <c r="C47" i="1"/>
  <c r="D50" i="1" l="1"/>
  <c r="D56" i="1"/>
  <c r="J14" i="1"/>
  <c r="J15" i="1"/>
  <c r="F60" i="4"/>
  <c r="F63" i="4"/>
  <c r="F57" i="4"/>
  <c r="F58" i="4" s="1"/>
  <c r="G55" i="4"/>
  <c r="F62" i="4"/>
  <c r="F59" i="4"/>
  <c r="E65" i="4"/>
  <c r="E47" i="1"/>
  <c r="P13" i="1"/>
  <c r="E54" i="1"/>
  <c r="D68" i="4"/>
  <c r="D65" i="4"/>
  <c r="E50" i="1"/>
  <c r="E56" i="1"/>
  <c r="D47" i="1"/>
  <c r="L13" i="1"/>
  <c r="D54" i="1"/>
  <c r="F64" i="4" l="1"/>
  <c r="L14" i="1"/>
  <c r="L15" i="1"/>
  <c r="P14" i="1"/>
  <c r="P15" i="1" s="1"/>
  <c r="G60" i="4"/>
  <c r="G57" i="4"/>
  <c r="G58" i="4" s="1"/>
  <c r="G63" i="4"/>
  <c r="H55" i="4"/>
  <c r="G62" i="4"/>
  <c r="G59" i="4"/>
  <c r="J17" i="1"/>
  <c r="C48" i="1"/>
  <c r="C55" i="1"/>
  <c r="E48" i="1" l="1"/>
  <c r="E55" i="1"/>
  <c r="K17" i="1"/>
  <c r="J16" i="1"/>
  <c r="H59" i="4"/>
  <c r="H63" i="4"/>
  <c r="H57" i="4"/>
  <c r="H58" i="4" s="1"/>
  <c r="H64" i="4" s="1"/>
  <c r="H68" i="4" s="1"/>
  <c r="H60" i="4"/>
  <c r="I55" i="4"/>
  <c r="H62" i="4"/>
  <c r="G64" i="4"/>
  <c r="D48" i="1"/>
  <c r="D55" i="1"/>
  <c r="F68" i="4"/>
  <c r="F65" i="4"/>
  <c r="H65" i="4" l="1"/>
  <c r="L17" i="1"/>
  <c r="K16" i="1"/>
  <c r="G68" i="4"/>
  <c r="G65" i="4"/>
  <c r="I63" i="4"/>
  <c r="I57" i="4"/>
  <c r="I58" i="4" s="1"/>
  <c r="I59" i="4"/>
  <c r="I60" i="4"/>
  <c r="I62" i="4"/>
  <c r="C49" i="1"/>
  <c r="M17" i="1" l="1"/>
  <c r="L16" i="1"/>
  <c r="I64" i="4"/>
  <c r="N17" i="1" l="1"/>
  <c r="M16" i="1"/>
  <c r="I68" i="4"/>
  <c r="B73" i="4" s="1"/>
  <c r="B69" i="4"/>
  <c r="I65" i="4"/>
  <c r="B85" i="4" l="1"/>
  <c r="B70" i="4"/>
  <c r="B74" i="4" s="1"/>
  <c r="B75" i="4"/>
  <c r="O17" i="1"/>
  <c r="N16" i="1"/>
  <c r="D49" i="1" l="1"/>
  <c r="P17" i="1"/>
  <c r="O16" i="1"/>
  <c r="B76" i="4"/>
  <c r="B79" i="4"/>
  <c r="B82" i="4" s="1"/>
  <c r="B89" i="4" s="1"/>
  <c r="Q17" i="1" l="1"/>
  <c r="P16" i="1"/>
  <c r="R17" i="1" l="1"/>
  <c r="Q16" i="1"/>
  <c r="S17" i="1" l="1"/>
  <c r="S16" i="1" s="1"/>
  <c r="R16" i="1"/>
  <c r="E49" i="1" l="1"/>
</calcChain>
</file>

<file path=xl/sharedStrings.xml><?xml version="1.0" encoding="utf-8"?>
<sst xmlns="http://schemas.openxmlformats.org/spreadsheetml/2006/main" count="451" uniqueCount="382">
  <si>
    <t>Sandisk Corp</t>
  </si>
  <si>
    <t>Model Info</t>
  </si>
  <si>
    <t>EDGAR Model (values in $Ms)</t>
  </si>
  <si>
    <t>Generated:     2026-04-20</t>
  </si>
  <si>
    <t>Q324</t>
  </si>
  <si>
    <t>Q424</t>
  </si>
  <si>
    <t>Q125</t>
  </si>
  <si>
    <t>Q225</t>
  </si>
  <si>
    <t>Q325</t>
  </si>
  <si>
    <t>Q425</t>
  </si>
  <si>
    <t>Q126</t>
  </si>
  <si>
    <t>Q226</t>
  </si>
  <si>
    <t>Q326</t>
  </si>
  <si>
    <t>Q426</t>
  </si>
  <si>
    <t>Q127</t>
  </si>
  <si>
    <t>Q227</t>
  </si>
  <si>
    <t>Q327</t>
  </si>
  <si>
    <t>Q427</t>
  </si>
  <si>
    <t>Q128</t>
  </si>
  <si>
    <t>Q228</t>
  </si>
  <si>
    <t>Q328</t>
  </si>
  <si>
    <t>Q428</t>
  </si>
  <si>
    <t>Next Earnings: 2026-04-30</t>
  </si>
  <si>
    <t>Revenue</t>
  </si>
  <si>
    <t>FY End:        Unknown</t>
  </si>
  <si>
    <t>COGS</t>
  </si>
  <si>
    <t>Gross Profit</t>
  </si>
  <si>
    <t>S&amp;M</t>
  </si>
  <si>
    <t>R&amp;D</t>
  </si>
  <si>
    <t>G&amp;A</t>
  </si>
  <si>
    <t>Operating Expenses</t>
  </si>
  <si>
    <t>Operating Income</t>
  </si>
  <si>
    <t>Interest Income</t>
  </si>
  <si>
    <t>Pretax Income</t>
  </si>
  <si>
    <t>Taxes</t>
  </si>
  <si>
    <t>Net Income</t>
  </si>
  <si>
    <t>EPS</t>
  </si>
  <si>
    <t>Shares</t>
  </si>
  <si>
    <t>Revenue y/y</t>
  </si>
  <si>
    <t>Gross Margin</t>
  </si>
  <si>
    <t>CFFO</t>
  </si>
  <si>
    <t>CX</t>
  </si>
  <si>
    <t>FCF</t>
  </si>
  <si>
    <t>CFFO margin</t>
  </si>
  <si>
    <t>Cash</t>
  </si>
  <si>
    <t>AR</t>
  </si>
  <si>
    <t>Prepaids</t>
  </si>
  <si>
    <t>PP&amp;E</t>
  </si>
  <si>
    <t>Goodwill</t>
  </si>
  <si>
    <t>ONCA</t>
  </si>
  <si>
    <t>Assets</t>
  </si>
  <si>
    <t>AP</t>
  </si>
  <si>
    <t>AL</t>
  </si>
  <si>
    <t>DR</t>
  </si>
  <si>
    <t>Debt</t>
  </si>
  <si>
    <t>ONCL</t>
  </si>
  <si>
    <t>SE</t>
  </si>
  <si>
    <t>L+SE</t>
  </si>
  <si>
    <t>ANNUAL SUMMARY ($M)</t>
  </si>
  <si>
    <t>FY2025</t>
  </si>
  <si>
    <t>FY2026</t>
  </si>
  <si>
    <t>FY2027</t>
  </si>
  <si>
    <t>FY2028</t>
  </si>
  <si>
    <t>Revenue Growth</t>
  </si>
  <si>
    <t>Operating Margin</t>
  </si>
  <si>
    <t>Net Margin</t>
  </si>
  <si>
    <t>FCF Margin</t>
  </si>
  <si>
    <t>Sandisk Corp - Revenue Drivers</t>
  </si>
  <si>
    <t>Q424 (FY)</t>
  </si>
  <si>
    <t>Q425 (FY)</t>
  </si>
  <si>
    <t>FY2026E</t>
  </si>
  <si>
    <t>FY2027E</t>
  </si>
  <si>
    <t>FY2028E</t>
  </si>
  <si>
    <t>Cloud</t>
  </si>
  <si>
    <t>Client</t>
  </si>
  <si>
    <t>Consumer</t>
  </si>
  <si>
    <t>Total Revenue (Driver-Based)</t>
  </si>
  <si>
    <t>How it works:</t>
  </si>
  <si>
    <t>1. Fill in quarterly segment estimates in yellow cells.</t>
  </si>
  <si>
    <t>2. Q4 (FY) columns show annual totals from the 10-K as reference.</t>
  </si>
  <si>
    <t>3. Green FY columns auto-sum all quarters (actual + estimate)</t>
  </si>
  <si>
    <t xml:space="preserve">   for the fiscal year. Cell color tells you which is which:</t>
  </si>
  <si>
    <t xml:space="preserve">   yellow = estimate, plain = reported actual.</t>
  </si>
  <si>
    <t>Scenario Manager - Sandisk Corp (SNDK)</t>
  </si>
  <si>
    <t>Edit yellow cells to override Bear/Base/Bull segment revenue ($M). Changes persist across refresh.</t>
  </si>
  <si>
    <t>SEGMENT REVENUE BY SCENARIO ($M)</t>
  </si>
  <si>
    <t>Segment</t>
  </si>
  <si>
    <t>FY26E Bear</t>
  </si>
  <si>
    <t>FY26E Base</t>
  </si>
  <si>
    <t>FY26E Bull</t>
  </si>
  <si>
    <t>FY27E Bear</t>
  </si>
  <si>
    <t>FY27E Base</t>
  </si>
  <si>
    <t>FY27E Bull</t>
  </si>
  <si>
    <t>FY28E Bear</t>
  </si>
  <si>
    <t>FY28E Base</t>
  </si>
  <si>
    <t>FY28E Bull</t>
  </si>
  <si>
    <t>TOTAL REVENUE</t>
  </si>
  <si>
    <t>SCENARIO NARRATIVES</t>
  </si>
  <si>
    <t>Bear thesis:</t>
  </si>
  <si>
    <t>NAND cycle rolls over late FY26. AI capex pauses; Cloud compresses from $3.4B FY26 to $1.8B FY28. Client -7% cumulative on commodity pricing, Consumer -11%. Op margin re-enters loss territory.</t>
  </si>
  <si>
    <t>Bull thesis:</t>
  </si>
  <si>
    <t>AI buildout compounds through FY28. Kioxia JV supply constrains, ASPs stay elevated. Cloud compounds ~75% CAGR to $9.5B by FY28, Client benefits from on-device AI refresh reaching $9.5B, Consumer grows mid-single-digits. Peak margins (25%+) sustained.</t>
  </si>
  <si>
    <t>1. Yellow cells = your overrides for each scenario's segment revenue</t>
  </si>
  <si>
    <t>2. Defaults auto-populated from Drivers tab (Base) and segment volatility (Bear/Bull)</t>
  </si>
  <si>
    <t>DCF Valuation — Sandisk Corp (SNDK)</t>
  </si>
  <si>
    <t>ASSUMPTIONS</t>
  </si>
  <si>
    <t>WACC</t>
  </si>
  <si>
    <t>Terminal Growth Rate</t>
  </si>
  <si>
    <t>Tax Rate</t>
  </si>
  <si>
    <t>Operating Margin (TTM)</t>
  </si>
  <si>
    <t>CapEx % of Revenue</t>
  </si>
  <si>
    <t>Maintenance CapEx %</t>
  </si>
  <si>
    <t>D&amp;A % of Revenue</t>
  </si>
  <si>
    <t>NWC % of Revenue</t>
  </si>
  <si>
    <t>SBC % of Revenue</t>
  </si>
  <si>
    <t>Net Dilution Rate (SBC - Buybacks)</t>
  </si>
  <si>
    <t>WACC BUILD</t>
  </si>
  <si>
    <t>Risk-Free Rate (Rf)</t>
  </si>
  <si>
    <t>Equity Risk Premium (ERP)</t>
  </si>
  <si>
    <t>Raw Beta</t>
  </si>
  <si>
    <t>Blume-Adjusted Beta (Own)</t>
  </si>
  <si>
    <t>Peer Blume Beta</t>
  </si>
  <si>
    <t>Blended Beta</t>
  </si>
  <si>
    <t>Cost of Equity (Ke = Rf + β×ERP)</t>
  </si>
  <si>
    <t>Pre-Tax Cost of Debt</t>
  </si>
  <si>
    <t>After-Tax Cost of Debt</t>
  </si>
  <si>
    <t>Equity Weight (E/V)</t>
  </si>
  <si>
    <t>Debt Weight (D/V)</t>
  </si>
  <si>
    <t>→ WACC = (E/V)×Ke + (D/V)×Kd×(1-t)</t>
  </si>
  <si>
    <t>Beta Method:</t>
  </si>
  <si>
    <t>Sources:</t>
  </si>
  <si>
    <t>Rf = Yahoo ^TNX (daily) | ERP = Damodaran (monthly)</t>
  </si>
  <si>
    <t>Revenue Growth Rates:</t>
  </si>
  <si>
    <t xml:space="preserve">  Year 1</t>
  </si>
  <si>
    <t xml:space="preserve">  Year 2</t>
  </si>
  <si>
    <t xml:space="preserve">  Year 3</t>
  </si>
  <si>
    <t xml:space="preserve">  Year 4</t>
  </si>
  <si>
    <t xml:space="preserve">  Year 5</t>
  </si>
  <si>
    <t xml:space="preserve">  Year 6</t>
  </si>
  <si>
    <t xml:space="preserve">  Year 7</t>
  </si>
  <si>
    <t>TTM FINANCIALS ($M)</t>
  </si>
  <si>
    <t>Stock-Based Comp</t>
  </si>
  <si>
    <t>Share Buybacks</t>
  </si>
  <si>
    <t>CapEx</t>
  </si>
  <si>
    <t>Shares Outstanding</t>
  </si>
  <si>
    <t>PROJECTED FREE CASH FLOW ($M)</t>
  </si>
  <si>
    <t>TTM</t>
  </si>
  <si>
    <t>Year 1</t>
  </si>
  <si>
    <t>Year 2</t>
  </si>
  <si>
    <t>Year 3</t>
  </si>
  <si>
    <t>Year 4</t>
  </si>
  <si>
    <t>Year 5</t>
  </si>
  <si>
    <t>Year 6</t>
  </si>
  <si>
    <t>Year 7</t>
  </si>
  <si>
    <t>NOPAT</t>
  </si>
  <si>
    <t>D&amp;A</t>
  </si>
  <si>
    <t>CapEx %</t>
  </si>
  <si>
    <t>Change in NWC</t>
  </si>
  <si>
    <t>Free Cash Flow</t>
  </si>
  <si>
    <t>DISCOUNTED CASH FLOWS ($M)</t>
  </si>
  <si>
    <t>PV of FCF</t>
  </si>
  <si>
    <t>Terminal Value</t>
  </si>
  <si>
    <t>PV of Terminal Value</t>
  </si>
  <si>
    <t>VALUATION SUMMARY</t>
  </si>
  <si>
    <t>Sum of PV(FCFs)</t>
  </si>
  <si>
    <t>Enterprise Value</t>
  </si>
  <si>
    <t>Terminal Value % of EV</t>
  </si>
  <si>
    <t>Less: Debt</t>
  </si>
  <si>
    <t>Plus: Cash</t>
  </si>
  <si>
    <t>Equity Value</t>
  </si>
  <si>
    <t>Current Shares (M)</t>
  </si>
  <si>
    <t>Diluted Shares (M, End of Projection)</t>
  </si>
  <si>
    <t>Implied Share Price</t>
  </si>
  <si>
    <t>TERMINAL VALUE CROSS-CHECK</t>
  </si>
  <si>
    <t>Perpetuity Growth Method</t>
  </si>
  <si>
    <t>Exit Multiple Method (38x EBITDA)</t>
  </si>
  <si>
    <t>Note: Compare both methods. Large gaps suggest fragile assumptions.</t>
  </si>
  <si>
    <t>Current Market Price</t>
  </si>
  <si>
    <t>Upside / Downside</t>
  </si>
  <si>
    <t>SCENARIO ANALYSIS</t>
  </si>
  <si>
    <t>Three scenarios based on different growth and margin assumptions</t>
  </si>
  <si>
    <t>Bear</t>
  </si>
  <si>
    <t>Base</t>
  </si>
  <si>
    <t>Bull</t>
  </si>
  <si>
    <t>vs Current Price</t>
  </si>
  <si>
    <t>Year 1 Growth</t>
  </si>
  <si>
    <t>Year 7 Growth</t>
  </si>
  <si>
    <t>Year 1 Op Margin</t>
  </si>
  <si>
    <t>Year 7 Op Margin</t>
  </si>
  <si>
    <t>Dilution (Annual SBC)</t>
  </si>
  <si>
    <t>MARGIN REVERSION (stress case — base growth, mid-cycle margins)</t>
  </si>
  <si>
    <t>Stress Implied Share Price</t>
  </si>
  <si>
    <t>vs Base Case ($312.79)</t>
  </si>
  <si>
    <t>vs Current Market ($913.02)</t>
  </si>
  <si>
    <t>Year 1 → Year N Op Margin</t>
  </si>
  <si>
    <t>22.0% → 15.0%</t>
  </si>
  <si>
    <t>SENSITIVITY: WACC × Terminal Growth → Implied Price</t>
  </si>
  <si>
    <t>Each cell shows the implied share price under that WACC / Terminal Growth combo</t>
  </si>
  <si>
    <t>WACC ↓ / TGR →</t>
  </si>
  <si>
    <t>Reverse DCF — Sandisk Corp (SNDK)</t>
  </si>
  <si>
    <t>What annual FCF growth rate is the market pricing in at today's stock price?</t>
  </si>
  <si>
    <t>RESULT</t>
  </si>
  <si>
    <t>Implied Annual FCF Growth</t>
  </si>
  <si>
    <t>Current Stock Price</t>
  </si>
  <si>
    <t>HISTORICAL REVENUE GROWTH (CAGR)</t>
  </si>
  <si>
    <t>1yr Avg Revenue Growth</t>
  </si>
  <si>
    <t>⚠ Market implies 50% growth vs 24% historical — aggressive pricing</t>
  </si>
  <si>
    <t>The market expects very high growth (50%/yr). High expectations = high risk if growth slows.</t>
  </si>
  <si>
    <t>WHAT MUST BE TRUE FOR $913 TO BE FAIR VALUE</t>
  </si>
  <si>
    <t>Market price requires AT LEAST ONE of these (not all three) — each holds other base-case operational assumptions constant.</t>
  </si>
  <si>
    <t>Required TTM Revenue (starting point)</t>
  </si>
  <si>
    <t>vs base $8,929M  (Δ +253%)</t>
  </si>
  <si>
    <t>Required Operating Margin (held constant)</t>
  </si>
  <si>
    <t>vs base 22.0%  (Δ +45.2pp)  →  implied FCF margin 50.8%</t>
  </si>
  <si>
    <t>Required Terminal Growth Rate</t>
  </si>
  <si>
    <t>vs base 3.0%  (Δ +5.7pp)</t>
  </si>
  <si>
    <t>ASSUMPTIONS USED</t>
  </si>
  <si>
    <t>(linked to DCF tab)</t>
  </si>
  <si>
    <t>SENSITIVITY TABLE</t>
  </si>
  <si>
    <t>Implied FCF Growth Rate for different WACC / Terminal Growth combos</t>
  </si>
  <si>
    <t>GROWTH × MARGIN GRID (Implied Price)</t>
  </si>
  <si>
    <t>Each cell = implied share price for that (revenue CAGR, op margin) combo. Find the cell closest to current price; that pair is what the market is pricing.</t>
  </si>
  <si>
    <t>Op Margin ↓ / Rev CAGR →</t>
  </si>
  <si>
    <t>At current price $913.02, the market is pricing in approximately 50% revenue CAGR AT 22% operating margin. Move along either axis to see the trade-off.</t>
  </si>
  <si>
    <t>MARKET-IMPLIED WACC</t>
  </si>
  <si>
    <t>Holding our growth and margin base case, what discount rate does today's price imply? If this is materially below our computed WACC, the market is pricing less risk than our beta methodology assumes.</t>
  </si>
  <si>
    <t>Our Computed WACC</t>
  </si>
  <si>
    <t>Market-Implied WACC</t>
  </si>
  <si>
    <t>Gap (Ours − Market)</t>
  </si>
  <si>
    <t>We discount at 5.1pp HIGHER than the market. Closing this gap (lower beta or longer return horizon) would push our DCF toward sell-side targets.</t>
  </si>
  <si>
    <t>Monte Carlo DCF Simulation - Sandisk Corp (SNDK)</t>
  </si>
  <si>
    <t>METHODOLOGY</t>
  </si>
  <si>
    <t>1,000 iterations (1,000 valid)</t>
  </si>
  <si>
    <t>Operating variables: correlated blend between Bear/Base/Bull scenarios</t>
  </si>
  <si>
    <t>WACC: Normal(10.3%, 1.5% std) | TGR: Triangular(1.5%, 3.0%, 4.5%)</t>
  </si>
  <si>
    <t>Revenue exec shock: ±15% σ (multiplicative, ±2σ clipped) | Margin exec shock: ±3.0pp σ (additive, ±2σ clipped)</t>
  </si>
  <si>
    <t>Seed: 42 (deterministic — same inputs produce same output)</t>
  </si>
  <si>
    <t>SUMMARY STATISTICS</t>
  </si>
  <si>
    <t>Mean Implied Price</t>
  </si>
  <si>
    <t>Median Implied Price (50th pctl)</t>
  </si>
  <si>
    <t>Standard Deviation</t>
  </si>
  <si>
    <t>PERCENTILE TABLE</t>
  </si>
  <si>
    <t>Percentile</t>
  </si>
  <si>
    <t>Implied Price</t>
  </si>
  <si>
    <t>vs Current</t>
  </si>
  <si>
    <t>5th</t>
  </si>
  <si>
    <t>25th</t>
  </si>
  <si>
    <t>50th</t>
  </si>
  <si>
    <t>75th</t>
  </si>
  <si>
    <t>95th</t>
  </si>
  <si>
    <t>PROBABILITY ANALYSIS</t>
  </si>
  <si>
    <t>Current Share Price</t>
  </si>
  <si>
    <t>P(Undervalued)</t>
  </si>
  <si>
    <t>Majority of scenarios imply downside</t>
  </si>
  <si>
    <t>SCENARIO ANCHORS</t>
  </si>
  <si>
    <t>Bear Implied</t>
  </si>
  <si>
    <t>Base Implied</t>
  </si>
  <si>
    <t>Bull Implied</t>
  </si>
  <si>
    <t>PRICE DISTRIBUTION</t>
  </si>
  <si>
    <t>$81-$142</t>
  </si>
  <si>
    <t>███</t>
  </si>
  <si>
    <t>(20)</t>
  </si>
  <si>
    <t>$142-$203</t>
  </si>
  <si>
    <t>█████████████████████████</t>
  </si>
  <si>
    <t>(154)</t>
  </si>
  <si>
    <t>$203-$263</t>
  </si>
  <si>
    <t>███████████████████████████████████████</t>
  </si>
  <si>
    <t>(235)</t>
  </si>
  <si>
    <t>$263-$324</t>
  </si>
  <si>
    <t>████████████████████████████████████████</t>
  </si>
  <si>
    <t>(239)</t>
  </si>
  <si>
    <t>$324-$385</t>
  </si>
  <si>
    <t>██████████████████████████</t>
  </si>
  <si>
    <t>(160)</t>
  </si>
  <si>
    <t>$385-$446</t>
  </si>
  <si>
    <t>█████████████</t>
  </si>
  <si>
    <t>(82)</t>
  </si>
  <si>
    <t>$446-$506</t>
  </si>
  <si>
    <t>█████████</t>
  </si>
  <si>
    <t>(54)</t>
  </si>
  <si>
    <t>$506-$567</t>
  </si>
  <si>
    <t>█████</t>
  </si>
  <si>
    <t>(30)</t>
  </si>
  <si>
    <t>$567-$628</t>
  </si>
  <si>
    <t>█</t>
  </si>
  <si>
    <t>(11)</t>
  </si>
  <si>
    <t>$628-$688</t>
  </si>
  <si>
    <t>(7)</t>
  </si>
  <si>
    <t>$688-$749</t>
  </si>
  <si>
    <t>(3)</t>
  </si>
  <si>
    <t>$749-$810</t>
  </si>
  <si>
    <t>(1)</t>
  </si>
  <si>
    <t>$810-$871</t>
  </si>
  <si>
    <t>(2)</t>
  </si>
  <si>
    <t>$871-$931</t>
  </si>
  <si>
    <t>(0)</t>
  </si>
  <si>
    <t>$931-$992</t>
  </si>
  <si>
    <t>$992-$1053</t>
  </si>
  <si>
    <t>$1053-$1113</t>
  </si>
  <si>
    <t>$1113-$1174</t>
  </si>
  <si>
    <t>$1174-$1235</t>
  </si>
  <si>
    <t>$1235-$1296</t>
  </si>
  <si>
    <t>Comparable Company Analysis</t>
  </si>
  <si>
    <t>Ticker</t>
  </si>
  <si>
    <t>Company</t>
  </si>
  <si>
    <t>Market Cap ($B)</t>
  </si>
  <si>
    <t>Price</t>
  </si>
  <si>
    <t>Trailing P/E</t>
  </si>
  <si>
    <t>Forward P/E</t>
  </si>
  <si>
    <t>EV/EBITDA</t>
  </si>
  <si>
    <t>P/S</t>
  </si>
  <si>
    <t>EV/Rev</t>
  </si>
  <si>
    <t>P/B</t>
  </si>
  <si>
    <t>PEG</t>
  </si>
  <si>
    <t>Rev Growth</t>
  </si>
  <si>
    <t>Op Margin</t>
  </si>
  <si>
    <t>ROE</t>
  </si>
  <si>
    <t>Div Yield</t>
  </si>
  <si>
    <t>WDC</t>
  </si>
  <si>
    <t>Western Digital Corporation</t>
  </si>
  <si>
    <t>STX</t>
  </si>
  <si>
    <t>Seagate Technology Holdings PLC</t>
  </si>
  <si>
    <t>MU</t>
  </si>
  <si>
    <t>Micron Technology, Inc.</t>
  </si>
  <si>
    <t>Median</t>
  </si>
  <si>
    <t>Multiple-Based Valuation — Sandisk Corp (SNDK)</t>
  </si>
  <si>
    <t>Peers: WDC, STX, MU</t>
  </si>
  <si>
    <t>FORWARD METRICS ($M)</t>
  </si>
  <si>
    <t>NTM EPS (Trailing Margin)</t>
  </si>
  <si>
    <t>Normalized EPS (Mid-Cycle Avg Margin)</t>
  </si>
  <si>
    <t>NTM EBITDA (Projected OpInc + D&amp;A)</t>
  </si>
  <si>
    <t>NTM EBIT (Operating Income)</t>
  </si>
  <si>
    <t>NTM Revenue (Projected)</t>
  </si>
  <si>
    <t>TTM Free Cash Flow</t>
  </si>
  <si>
    <t>FCF Yield (TTM FCF / EV)</t>
  </si>
  <si>
    <t>Shares Outstanding (M)</t>
  </si>
  <si>
    <t>Book Value (Stockholders' Equity)</t>
  </si>
  <si>
    <t>Book Value Per Share</t>
  </si>
  <si>
    <t>Price / Book</t>
  </si>
  <si>
    <t>Inventory</t>
  </si>
  <si>
    <t>Inventory Turnover (COGS / Inv)</t>
  </si>
  <si>
    <t>Days Inventory Outstanding</t>
  </si>
  <si>
    <t>DUPONT ROE DECOMPOSITION</t>
  </si>
  <si>
    <t>Net Profit Margin (NI / Revenue)</t>
  </si>
  <si>
    <t>Asset Turnover (Revenue / Assets)</t>
  </si>
  <si>
    <t>Equity Multiplier (Assets / Equity)</t>
  </si>
  <si>
    <t>Return on Equity (ROE)</t>
  </si>
  <si>
    <t>GEOGRAPHIC REVENUE SPLIT</t>
  </si>
  <si>
    <t>(Source: 10-K filing)</t>
  </si>
  <si>
    <t>Asia</t>
  </si>
  <si>
    <t>██████████████████</t>
  </si>
  <si>
    <t>Americas</t>
  </si>
  <si>
    <t>██████</t>
  </si>
  <si>
    <t>EMEA</t>
  </si>
  <si>
    <t>CUSTOMER CONCENTRATION</t>
  </si>
  <si>
    <t>Status: CONCENTRATED</t>
  </si>
  <si>
    <t xml:space="preserve">  15% of total revenue</t>
  </si>
  <si>
    <t>For 2025 and 2024, no customer accounted for more than 10% of our net revenue. For 2023, one customer accounted for 15% of our net revenue. For 2025 and 2024 no single customer accounted for more than 10% of the Company’s net revenue.</t>
  </si>
  <si>
    <t>VALUATION BY MULTIPLES</t>
  </si>
  <si>
    <t>Method</t>
  </si>
  <si>
    <t>Low Multiple</t>
  </si>
  <si>
    <t>Mid Multiple</t>
  </si>
  <si>
    <t>High Multiple</t>
  </si>
  <si>
    <t>Low Price</t>
  </si>
  <si>
    <t>Mid Price</t>
  </si>
  <si>
    <t>High Price</t>
  </si>
  <si>
    <t>N/A</t>
  </si>
  <si>
    <t>EV/EBIT</t>
  </si>
  <si>
    <t>EV/Revenue</t>
  </si>
  <si>
    <t>Premium / Discount to Mid</t>
  </si>
  <si>
    <t>VALUATION RANGE SUMMARY</t>
  </si>
  <si>
    <t>Overall Low</t>
  </si>
  <si>
    <t>Overall Mid (Average)</t>
  </si>
  <si>
    <t>Overall High</t>
  </si>
  <si>
    <t>METHOD RELEVANCE NOTES</t>
  </si>
  <si>
    <t>CYCLE-ADJUSTMENT NOTE: Peer multiples (10-14x EV/Rev, ~38x EV/EBITDA) reflect peer peak-cycle pricing. Applying them to SNDK's peak revenue double-counts cycle risk. See DCF for cycle-adjusted view.</t>
  </si>
  <si>
    <t>Preferred Method</t>
  </si>
  <si>
    <t>CAUTION: Forward EPS is negative ($-7.14). P/E valuation is not applicable. Use EV-based methods.</t>
  </si>
  <si>
    <t>CAUTION: Negative EBITDA makes this multiple unreliable. Weight EV/Revenue more heavily.</t>
  </si>
  <si>
    <t>Input quarterly segment estimates in yellow cells ($Ms). Q4 columns show annual 10-K totals as reference.  |  Estimates: Mgmt Q2 FY26 call guidance (Jan 29 2026) + H1 actuals + supply-constrained Q4 + seasonality</t>
  </si>
  <si>
    <t>peer blended hardcoded</t>
  </si>
  <si>
    <t>Holds driver-based revenue growth constant. Fades op margin linearly from TTM to margin target − 5pp. Tests what happens if today's peak margins normalize to mid-cycle without any change in revenue trajectory.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</si>
</sst>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numFmt numFmtId="165" formatCode="0.0%"/>
    <numFmt numFmtId="166" formatCode="\+0.0%;\-0.0%"/>
    <numFmt numFmtId="167" formatCode="\+0.00%;\-0.00%"/>
    <numFmt numFmtId="168" formatCode="#,##0.0"/>
    <numFmt numFmtId="169" formatCode="0.0&quot;x&quot;"/>
    <numFmt numFmtId="170" formatCode="0.00&quot;x&quot;"/>
  </numFmts>
  <fonts count="34" x14ac:knownFonts="1">
    <font>
      <sz val="11"/>
      <color theme="1"/>
      <name val="Calibri"/>
      <family val="2"/>
      <scheme val="minor"/>
    </font>
    <font>
      <b/>
      <sz val="11"/>
      <name val="Calibri"/>
    </font>
    <font>
      <i/>
      <sz val="11"/>
      <color rgb="FF888888"/>
      <name val="Calibri"/>
    </font>
    <font>
      <b/>
      <sz val="11"/>
      <color rgb="FFFFFFFF"/>
      <name val="Calibri"/>
    </font>
    <font>
      <b/>
      <sz val="11"/>
      <name val="Calibri"/>
    </font>
    <font>
      <i/>
      <sz val="9"/>
      <color rgb="FF888888"/>
      <name val="Calibri"/>
    </font>
    <font>
      <b/>
      <sz val="10"/>
      <name val="Calibri"/>
    </font>
    <font>
      <sz val="9"/>
      <color rgb="FF666666"/>
      <name val="Calibri"/>
    </font>
    <font>
      <b/>
      <sz val="13"/>
      <name val="Calibri"/>
    </font>
    <font>
      <i/>
      <sz val="9"/>
      <color rgb="FF666666"/>
      <name val="Calibri"/>
    </font>
    <font>
      <b/>
      <sz val="9"/>
      <name val="Calibri"/>
    </font>
    <font>
      <sz val="10"/>
      <name val="Calibri"/>
    </font>
    <font>
      <b/>
      <sz val="11"/>
      <color rgb="FFFFFFFF"/>
      <name val="Calibri"/>
    </font>
    <font>
      <b/>
      <sz val="11"/>
      <color rgb="FF1F4E79"/>
      <name val="Calibri"/>
    </font>
    <font>
      <i/>
      <sz val="11"/>
      <color rgb="FF808080"/>
      <name val="Calibri"/>
    </font>
    <font>
      <i/>
      <sz val="11"/>
      <color rgb="FF666666"/>
      <name val="Calibri"/>
    </font>
    <font>
      <b/>
      <sz val="12"/>
      <name val="Calibri"/>
    </font>
    <font>
      <b/>
      <sz val="11"/>
      <color rgb="FF660000"/>
      <name val="Calibri"/>
    </font>
    <font>
      <sz val="11"/>
      <color rgb="FF9C0006"/>
      <name val="Calibri"/>
    </font>
    <font>
      <sz val="9"/>
      <name val="Consolas"/>
    </font>
    <font>
      <sz val="9"/>
      <color rgb="FF4472C4"/>
      <name val="Consolas"/>
    </font>
    <font>
      <sz val="9"/>
      <color rgb="FF666666"/>
      <name val="Consolas"/>
    </font>
    <font>
      <i/>
      <sz val="10"/>
      <color rgb="FF666666"/>
      <name val="Calibri"/>
    </font>
    <font>
      <b/>
      <sz val="14"/>
      <name val="Calibri"/>
    </font>
    <font>
      <i/>
      <sz val="11"/>
      <color rgb="FFCC0000"/>
      <name val="Calibri"/>
    </font>
    <font>
      <sz val="11"/>
      <color rgb="FFCC0000"/>
      <name val="Calibri"/>
    </font>
    <font>
      <i/>
      <sz val="9"/>
      <color rgb="FF808080"/>
      <name val="Calibri"/>
    </font>
    <font>
      <i/>
      <sz val="9"/>
      <name val="Calibri"/>
    </font>
    <font>
      <i/>
      <sz val="11"/>
      <color rgb="FF333333"/>
      <name val="Calibri"/>
    </font>
    <font>
      <sz val="8"/>
      <color rgb="FF4472C4"/>
      <name val="Calibri"/>
    </font>
    <font>
      <b/>
      <sz val="11"/>
      <color rgb="FFCC0000"/>
      <name val="Calibri"/>
    </font>
    <font>
      <i/>
      <sz val="9"/>
      <color rgb="FF444444"/>
      <name val="Calibri"/>
    </font>
    <font>
      <sz val="9"/>
      <name val="Calibri"/>
    </font>
    <font>
      <b/>
      <sz val="10"/>
      <color rgb="FF404040"/>
      <name val="Calibri"/>
    </font>
  </fonts>
  <fills count="11">
    <fill>
      <patternFill patternType="none"/>
    </fill>
    <fill>
      <patternFill patternType="gray125"/>
    </fill>
    <fill>
      <patternFill patternType="solid">
        <fgColor rgb="FF1F4E79"/>
        <bgColor rgb="FF1F4E79"/>
      </patternFill>
    </fill>
    <fill>
      <patternFill patternType="solid">
        <fgColor rgb="FFBF8F00"/>
        <bgColor rgb="FFBF8F00"/>
      </patternFill>
    </fill>
    <fill>
      <patternFill patternType="solid">
        <fgColor rgb="FFFFF2CC"/>
        <bgColor rgb="FFFFF2CC"/>
      </patternFill>
    </fill>
    <fill>
      <patternFill patternType="solid">
        <fgColor rgb="FF548235"/>
        <bgColor rgb="FF548235"/>
      </patternFill>
    </fill>
    <fill>
      <patternFill patternType="solid">
        <fgColor rgb="FFE2EFDA"/>
        <bgColor rgb="FFE2EFDA"/>
      </patternFill>
    </fill>
    <fill>
      <patternFill patternType="solid">
        <fgColor rgb="FFF8CECC"/>
        <bgColor rgb="FFF8CECC"/>
      </patternFill>
    </fill>
    <fill>
      <patternFill patternType="solid">
        <fgColor rgb="FFDAE8FC"/>
        <bgColor rgb="FFDAE8FC"/>
      </patternFill>
    </fill>
    <fill>
      <patternFill patternType="solid">
        <fgColor rgb="FFD5E8D4"/>
        <bgColor rgb="FFD5E8D4"/>
      </patternFill>
    </fill>
    <fill>
      <patternFill patternType="solid">
        <fgColor rgb="FFDAEEF3"/>
        <bgColor rgb="FFDAEEF3"/>
      </patternFill>
    </fill>
  </fills>
  <borders count="3">
    <border>
      <left/>
      <right/>
      <top/>
      <bottom/>
      <diagonal/>
    </border>
    <border>
      <left/>
      <right/>
      <top/>
      <bottom style="thin">
        <color rgb="FFD9D9D9"/>
      </bottom>
      <diagonal/>
    </border>
    <border>
      <left/>
      <right/>
      <top/>
      <bottom style="thin">
        <color rgb="FFCCCCCC"/>
      </bottom>
      <diagonal/>
    </border>
  </borders>
  <cellStyleXfs count="1">
    <xf numFmtId="0" fontId="0" fillId="0" borderId="0"/>
  </cellStyleXfs>
  <cellXfs count="107">
    <xf numFmtId="0" fontId="0" fillId="0" borderId="0" xfId="0"/>
    <xf numFmtId="0" fontId="1" fillId="0" borderId="0" xfId="0" applyFont="1"/>
    <xf numFmtId="0" fontId="33" fillId="0" borderId="0" xfId="0" applyFont="1" applyAlignment="1">
      <alignment horizontal="left"/>
    </xf>
    <xf numFmtId="0" fontId="2" fillId="0" borderId="0" xfId="0" applyFont="1"/>
    <xf numFmtId="0" fontId="26" fillId="0" borderId="0" xfId="0" applyFont="1" applyAlignment="1">
      <alignment horizontal="left"/>
    </xf>
    <xf numFmtId="0" fontId="3" fillId="2" borderId="0" xfId="0" applyFont="1" applyFill="1" applyAlignment="1">
      <alignment horizontal="center"/>
    </xf>
    <xf numFmtId="0" fontId="3" fillId="3" borderId="0" xfId="0" applyFont="1" applyFill="1" applyAlignment="1">
      <alignment horizontal="center"/>
    </xf>
    <xf numFmtId="0" fontId="4" fillId="0" borderId="0" xfId="0" applyFont="1"/>
    <xf numFmtId="3" fontId="0" fillId="0" borderId="1" xfId="0" applyNumberFormat="1" applyBorder="1" applyAlignment="1">
      <alignment horizontal="right"/>
    </xf>
    <xf numFmtId="3" fontId="0" fillId="4" borderId="1" xfId="0" applyNumberFormat="1" applyFill="1" applyBorder="1" applyAlignment="1">
      <alignment horizontal="right"/>
    </xf>
    <xf numFmtId="164" fontId="0" fillId="0" borderId="1" xfId="0" applyNumberFormat="1" applyBorder="1" applyAlignment="1">
      <alignment horizontal="right"/>
    </xf>
    <xf numFmtId="164" fontId="0" fillId="4" borderId="1" xfId="0" applyNumberFormat="1" applyFill="1" applyBorder="1" applyAlignment="1">
      <alignment horizontal="right"/>
    </xf>
    <xf numFmtId="165" fontId="0" fillId="0" borderId="1" xfId="0" applyNumberFormat="1" applyBorder="1" applyAlignment="1">
      <alignment horizontal="right"/>
    </xf>
    <xf numFmtId="165" fontId="0" fillId="4" borderId="1" xfId="0" applyNumberFormat="1" applyFill="1" applyBorder="1" applyAlignment="1">
      <alignment horizontal="right"/>
    </xf>
    <xf numFmtId="0" fontId="13" fillId="0" borderId="0" xfId="0" applyFont="1"/>
    <xf numFmtId="3" fontId="0" fillId="0" borderId="0" xfId="0" applyNumberFormat="1" applyAlignment="1">
      <alignment horizontal="right"/>
    </xf>
    <xf numFmtId="3" fontId="0" fillId="4" borderId="0" xfId="0" applyNumberFormat="1" applyFill="1" applyAlignment="1">
      <alignment horizontal="right"/>
    </xf>
    <xf numFmtId="164" fontId="0" fillId="0" borderId="0" xfId="0" applyNumberFormat="1" applyAlignment="1">
      <alignment horizontal="right"/>
    </xf>
    <xf numFmtId="164" fontId="0" fillId="4" borderId="0" xfId="0" applyNumberFormat="1" applyFill="1" applyAlignment="1">
      <alignment horizontal="right"/>
    </xf>
    <xf numFmtId="165" fontId="0" fillId="0" borderId="0" xfId="0" applyNumberFormat="1" applyAlignment="1">
      <alignment horizontal="right"/>
    </xf>
    <xf numFmtId="165" fontId="0" fillId="4" borderId="0" xfId="0" applyNumberFormat="1" applyFill="1" applyAlignment="1">
      <alignment horizontal="right"/>
    </xf>
    <xf numFmtId="0" fontId="5" fillId="0" borderId="0" xfId="0" applyFont="1"/>
    <xf numFmtId="0" fontId="3" fillId="5" borderId="0" xfId="0" applyFont="1" applyFill="1" applyAlignment="1">
      <alignment horizontal="center"/>
    </xf>
    <xf numFmtId="3" fontId="4" fillId="6" borderId="1" xfId="0" applyNumberFormat="1" applyFont="1" applyFill="1" applyBorder="1" applyAlignment="1">
      <alignment horizontal="right"/>
    </xf>
    <xf numFmtId="0" fontId="3" fillId="2" borderId="0" xfId="0" applyFont="1" applyFill="1"/>
    <xf numFmtId="3" fontId="3" fillId="2" borderId="1" xfId="0" applyNumberFormat="1" applyFont="1" applyFill="1" applyBorder="1" applyAlignment="1">
      <alignment horizontal="right"/>
    </xf>
    <xf numFmtId="3" fontId="3" fillId="5" borderId="1" xfId="0" applyNumberFormat="1" applyFont="1" applyFill="1" applyBorder="1" applyAlignment="1">
      <alignment horizontal="right"/>
    </xf>
    <xf numFmtId="0" fontId="6" fillId="0" borderId="0" xfId="0" applyFont="1"/>
    <xf numFmtId="0" fontId="7" fillId="0" borderId="0" xfId="0" applyFont="1"/>
    <xf numFmtId="0" fontId="8" fillId="0" borderId="0" xfId="0" applyFont="1"/>
    <xf numFmtId="0" fontId="9" fillId="0" borderId="0" xfId="0" applyFont="1"/>
    <xf numFmtId="0" fontId="0" fillId="2" borderId="0" xfId="0" applyFill="1"/>
    <xf numFmtId="0" fontId="10" fillId="7" borderId="0" xfId="0" applyFont="1" applyFill="1" applyAlignment="1">
      <alignment horizontal="center"/>
    </xf>
    <xf numFmtId="0" fontId="10" fillId="8" borderId="0" xfId="0" applyFont="1" applyFill="1" applyAlignment="1">
      <alignment horizontal="center"/>
    </xf>
    <xf numFmtId="0" fontId="10" fillId="9" borderId="0" xfId="0" applyFont="1" applyFill="1" applyAlignment="1">
      <alignment horizontal="center"/>
    </xf>
    <xf numFmtId="0" fontId="11" fillId="0" borderId="0" xfId="0" applyFont="1"/>
    <xf numFmtId="3" fontId="0" fillId="4" borderId="0" xfId="0" applyNumberFormat="1" applyFill="1"/>
    <xf numFmtId="0" fontId="12" fillId="2" borderId="0" xfId="0" applyFont="1" applyFill="1"/>
    <xf numFmtId="3" fontId="12" fillId="2" borderId="0" xfId="0" applyNumberFormat="1" applyFont="1" applyFill="1"/>
    <xf numFmtId="0" fontId="1" fillId="8" borderId="0" xfId="0" applyFont="1" applyFill="1"/>
    <xf numFmtId="0" fontId="0" fillId="8" borderId="0" xfId="0" applyFill="1"/>
    <xf numFmtId="165" fontId="0" fillId="4" borderId="0" xfId="0" applyNumberFormat="1" applyFill="1"/>
    <xf numFmtId="0" fontId="14" fillId="0" borderId="0" xfId="0" applyFont="1"/>
    <xf numFmtId="165" fontId="0" fillId="0" borderId="0" xfId="0" applyNumberFormat="1"/>
    <xf numFmtId="2" fontId="0" fillId="0" borderId="0" xfId="0" applyNumberFormat="1"/>
    <xf numFmtId="3" fontId="0" fillId="0" borderId="0" xfId="0" applyNumberFormat="1"/>
    <xf numFmtId="165" fontId="15" fillId="0" borderId="0" xfId="0" applyNumberFormat="1" applyFont="1"/>
    <xf numFmtId="164" fontId="16" fillId="9" borderId="0" xfId="0" applyNumberFormat="1" applyFont="1" applyFill="1"/>
    <xf numFmtId="164" fontId="0" fillId="0" borderId="0" xfId="0" applyNumberFormat="1"/>
    <xf numFmtId="165" fontId="4" fillId="9" borderId="0" xfId="0" applyNumberFormat="1" applyFont="1" applyFill="1"/>
    <xf numFmtId="0" fontId="16" fillId="0" borderId="0" xfId="0" applyFont="1"/>
    <xf numFmtId="0" fontId="1" fillId="7" borderId="0" xfId="0" applyFont="1" applyFill="1"/>
    <xf numFmtId="0" fontId="1" fillId="10" borderId="0" xfId="0" applyFont="1" applyFill="1"/>
    <xf numFmtId="0" fontId="1" fillId="9" borderId="0" xfId="0" applyFont="1" applyFill="1"/>
    <xf numFmtId="164" fontId="16" fillId="7" borderId="0" xfId="0" applyNumberFormat="1" applyFont="1" applyFill="1"/>
    <xf numFmtId="164" fontId="16" fillId="10" borderId="0" xfId="0" applyNumberFormat="1" applyFont="1" applyFill="1"/>
    <xf numFmtId="164" fontId="16" fillId="4" borderId="0" xfId="0" applyNumberFormat="1" applyFont="1" applyFill="1"/>
    <xf numFmtId="165" fontId="6" fillId="10" borderId="0" xfId="0" applyNumberFormat="1" applyFont="1" applyFill="1"/>
    <xf numFmtId="164" fontId="4" fillId="9" borderId="0" xfId="0" applyNumberFormat="1" applyFont="1" applyFill="1"/>
    <xf numFmtId="0" fontId="22" fillId="0" borderId="0" xfId="0" applyFont="1"/>
    <xf numFmtId="165" fontId="23" fillId="9" borderId="0" xfId="0" applyNumberFormat="1" applyFont="1" applyFill="1"/>
    <xf numFmtId="165" fontId="0" fillId="10" borderId="0" xfId="0" applyNumberFormat="1" applyFill="1"/>
    <xf numFmtId="0" fontId="24" fillId="0" borderId="0" xfId="0" applyFont="1"/>
    <xf numFmtId="0" fontId="25" fillId="0" borderId="0" xfId="0" applyFont="1"/>
    <xf numFmtId="3" fontId="4" fillId="7" borderId="0" xfId="0" applyNumberFormat="1" applyFont="1" applyFill="1"/>
    <xf numFmtId="0" fontId="15" fillId="0" borderId="0" xfId="0" applyFont="1"/>
    <xf numFmtId="165" fontId="4" fillId="7" borderId="0" xfId="0" applyNumberFormat="1" applyFont="1" applyFill="1"/>
    <xf numFmtId="0" fontId="26" fillId="0" borderId="0" xfId="0" applyFont="1"/>
    <xf numFmtId="0" fontId="27" fillId="0" borderId="0" xfId="0" applyFont="1"/>
    <xf numFmtId="165" fontId="1" fillId="0" borderId="0" xfId="0" applyNumberFormat="1" applyFont="1"/>
    <xf numFmtId="165" fontId="0" fillId="7" borderId="0" xfId="0" applyNumberFormat="1" applyFill="1"/>
    <xf numFmtId="164" fontId="1" fillId="0" borderId="0" xfId="0" applyNumberFormat="1" applyFont="1"/>
    <xf numFmtId="0" fontId="6" fillId="0" borderId="2" xfId="0" applyFont="1" applyBorder="1"/>
    <xf numFmtId="164" fontId="1" fillId="9" borderId="0" xfId="0" applyNumberFormat="1" applyFont="1" applyFill="1"/>
    <xf numFmtId="165" fontId="16" fillId="7" borderId="0" xfId="0" applyNumberFormat="1" applyFont="1" applyFill="1"/>
    <xf numFmtId="164" fontId="4" fillId="7" borderId="0" xfId="0" applyNumberFormat="1" applyFont="1" applyFill="1"/>
    <xf numFmtId="164" fontId="4" fillId="8" borderId="0" xfId="0" applyNumberFormat="1" applyFont="1" applyFill="1"/>
    <xf numFmtId="0" fontId="19" fillId="0" borderId="0" xfId="0" applyFont="1"/>
    <xf numFmtId="0" fontId="20" fillId="0" borderId="0" xfId="0" applyFont="1"/>
    <xf numFmtId="0" fontId="21" fillId="0" borderId="0" xfId="0" applyFont="1"/>
    <xf numFmtId="2" fontId="4" fillId="10" borderId="0" xfId="0" applyNumberFormat="1" applyFont="1" applyFill="1"/>
    <xf numFmtId="165" fontId="4" fillId="10" borderId="0" xfId="0" applyNumberFormat="1" applyFont="1" applyFill="1"/>
    <xf numFmtId="170" fontId="0" fillId="0" borderId="0" xfId="0" applyNumberFormat="1"/>
    <xf numFmtId="0" fontId="29" fillId="0" borderId="0" xfId="0" applyFont="1"/>
    <xf numFmtId="0" fontId="30" fillId="0" borderId="0" xfId="0" applyFont="1"/>
    <xf numFmtId="164" fontId="0" fillId="9" borderId="0" xfId="0" applyNumberFormat="1" applyFill="1"/>
    <xf numFmtId="164" fontId="4" fillId="0" borderId="0" xfId="0" applyNumberFormat="1" applyFont="1"/>
    <xf numFmtId="165" fontId="0" fillId="9" borderId="0" xfId="0" applyNumberFormat="1" applyFill="1"/>
    <xf numFmtId="0" fontId="4" fillId="9" borderId="0" xfId="0" applyFont="1" applyFill="1"/>
    <xf numFmtId="166" fontId="4" fillId="7" borderId="0" xfId="0" applyNumberFormat="1" applyFont="1" applyFill="1"/>
    <xf numFmtId="166" fontId="4" fillId="10" borderId="0" xfId="0" applyNumberFormat="1" applyFont="1" applyFill="1"/>
    <xf numFmtId="166" fontId="4" fillId="9" borderId="0" xfId="0" applyNumberFormat="1" applyFont="1" applyFill="1"/>
    <xf numFmtId="166" fontId="4" fillId="4" borderId="0" xfId="0" applyNumberFormat="1" applyFont="1" applyFill="1"/>
    <xf numFmtId="166" fontId="18" fillId="0" borderId="0" xfId="0" applyNumberFormat="1" applyFont="1"/>
    <xf numFmtId="168" fontId="0" fillId="0" borderId="0" xfId="0" applyNumberFormat="1"/>
    <xf numFmtId="169" fontId="0" fillId="0" borderId="0" xfId="0" applyNumberFormat="1"/>
    <xf numFmtId="169" fontId="4" fillId="10" borderId="0" xfId="0" applyNumberFormat="1" applyFont="1" applyFill="1"/>
    <xf numFmtId="169" fontId="0" fillId="4" borderId="0" xfId="0" applyNumberFormat="1" applyFill="1"/>
    <xf numFmtId="167" fontId="0" fillId="7" borderId="0" xfId="0" applyNumberFormat="1" applyFill="1"/>
    <xf numFmtId="0" fontId="0" fillId="4" borderId="0" xfId="0" applyFill="1" applyAlignment="1">
      <alignment wrapText="1"/>
    </xf>
    <xf numFmtId="0" fontId="0" fillId="0" borderId="0" xfId="0"/>
    <xf numFmtId="0" fontId="17" fillId="0" borderId="0" xfId="0" applyFont="1"/>
    <xf numFmtId="0" fontId="9" fillId="0" borderId="0" xfId="0" applyFont="1"/>
    <xf numFmtId="0" fontId="28" fillId="0" borderId="0" xfId="0" applyFont="1"/>
    <xf numFmtId="0" fontId="6" fillId="7" borderId="0" xfId="0" applyFont="1" applyFill="1" applyAlignment="1">
      <alignment vertical="top" wrapText="1"/>
    </xf>
    <xf numFmtId="0" fontId="32" fillId="7" borderId="0" xfId="0" applyFont="1" applyFill="1" applyAlignment="1">
      <alignment vertical="top" wrapText="1"/>
    </xf>
    <xf numFmtId="0" fontId="3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6"/>
  <sheetViews>
    <sheetView topLeftCell="A40" workbookViewId="0">
      <pane xSplit="1" topLeftCell="B1" activePane="topRight" state="frozen"/>
      <selection pane="topRight"/>
    </sheetView>
  </sheetViews>
  <sheetFormatPr defaultRowHeight="14.4" x14ac:dyDescent="0.3"/>
  <cols>
    <col min="1" max="1" width="22" customWidth="1"/>
    <col min="2" max="19" width="14" customWidth="1"/>
    <col min="22" max="22" width="30" customWidth="1"/>
  </cols>
  <sheetData>
    <row r="1" spans="1:22" x14ac:dyDescent="0.3">
      <c r="A1" s="1" t="s">
        <v>0</v>
      </c>
      <c r="V1" s="2" t="s">
        <v>1</v>
      </c>
    </row>
    <row r="2" spans="1:22" x14ac:dyDescent="0.3">
      <c r="A2" s="3" t="s">
        <v>2</v>
      </c>
      <c r="V2" s="4" t="s">
        <v>3</v>
      </c>
    </row>
    <row r="3" spans="1:22" x14ac:dyDescent="0.3">
      <c r="B3" s="5" t="s">
        <v>4</v>
      </c>
      <c r="C3" s="5" t="s">
        <v>5</v>
      </c>
      <c r="D3" s="5" t="s">
        <v>6</v>
      </c>
      <c r="E3" s="5" t="s">
        <v>7</v>
      </c>
      <c r="F3" s="5" t="s">
        <v>8</v>
      </c>
      <c r="G3" s="5" t="s">
        <v>9</v>
      </c>
      <c r="H3" s="5" t="s">
        <v>10</v>
      </c>
      <c r="I3" s="5" t="s">
        <v>11</v>
      </c>
      <c r="J3" s="6" t="s">
        <v>12</v>
      </c>
      <c r="K3" s="6" t="s">
        <v>13</v>
      </c>
      <c r="L3" s="6" t="s">
        <v>14</v>
      </c>
      <c r="M3" s="6" t="s">
        <v>15</v>
      </c>
      <c r="N3" s="6" t="s">
        <v>16</v>
      </c>
      <c r="O3" s="6" t="s">
        <v>17</v>
      </c>
      <c r="P3" s="6" t="s">
        <v>18</v>
      </c>
      <c r="Q3" s="6" t="s">
        <v>19</v>
      </c>
      <c r="R3" s="6" t="s">
        <v>20</v>
      </c>
      <c r="S3" s="6" t="s">
        <v>21</v>
      </c>
      <c r="V3" s="4" t="s">
        <v>22</v>
      </c>
    </row>
    <row r="4" spans="1:22" x14ac:dyDescent="0.3">
      <c r="A4" s="7" t="s">
        <v>23</v>
      </c>
      <c r="B4" s="8">
        <v>1705</v>
      </c>
      <c r="C4" s="8">
        <v>1760</v>
      </c>
      <c r="D4" s="8">
        <v>1883</v>
      </c>
      <c r="E4" s="8">
        <v>1876</v>
      </c>
      <c r="F4" s="8">
        <v>1695</v>
      </c>
      <c r="G4" s="8">
        <v>1901</v>
      </c>
      <c r="H4" s="8">
        <v>2308</v>
      </c>
      <c r="I4" s="8">
        <v>3025</v>
      </c>
      <c r="J4" s="9">
        <f>IF(Drivers!J8&lt;&gt;0,Drivers!J8,F4*(1+0.2918))</f>
        <v>4600</v>
      </c>
      <c r="K4" s="9">
        <f>IF(Drivers!K8&lt;&gt;0,Drivers!K8,G4*(1+0.2896))</f>
        <v>4568</v>
      </c>
      <c r="L4" s="9">
        <f>IF(Drivers!L8&lt;&gt;0,Drivers!L8,H4*(1+0.2835))</f>
        <v>4401</v>
      </c>
      <c r="M4" s="9">
        <f>IF(Drivers!M8&lt;&gt;0,Drivers!M8,I4*(1+0.2739))</f>
        <v>4238</v>
      </c>
      <c r="N4" s="9">
        <f>IF(Drivers!N8&lt;&gt;0,Drivers!N8,J4*(1+0.2613))</f>
        <v>3912</v>
      </c>
      <c r="O4" s="9">
        <f>IF(Drivers!O8&lt;&gt;0,Drivers!O8,K4*(1+0.2461))</f>
        <v>3749</v>
      </c>
      <c r="P4" s="9">
        <f>IF(Drivers!P8&lt;&gt;0,Drivers!P8,L4*(1+0.2288))</f>
        <v>5154.7999999999993</v>
      </c>
      <c r="Q4" s="9">
        <f>IF(Drivers!Q8&lt;&gt;0,Drivers!Q8,M4*(1+0.2098))</f>
        <v>4964</v>
      </c>
      <c r="R4" s="9">
        <f>IF(Drivers!R8&lt;&gt;0,Drivers!R8,N4*(1+0.1897))</f>
        <v>4582.2</v>
      </c>
      <c r="S4" s="9">
        <f>IF(Drivers!S8&lt;&gt;0,Drivers!S8,O4*(1+0.1689))</f>
        <v>4391.2</v>
      </c>
      <c r="V4" s="4" t="s">
        <v>24</v>
      </c>
    </row>
    <row r="5" spans="1:22" x14ac:dyDescent="0.3">
      <c r="A5" s="7" t="s">
        <v>25</v>
      </c>
      <c r="B5" s="8">
        <v>1242</v>
      </c>
      <c r="C5" s="8">
        <v>1124</v>
      </c>
      <c r="D5" s="8">
        <v>1157</v>
      </c>
      <c r="E5" s="8">
        <v>1270</v>
      </c>
      <c r="F5" s="8">
        <v>1313</v>
      </c>
      <c r="G5" s="8">
        <v>1403</v>
      </c>
      <c r="H5" s="8">
        <v>1621</v>
      </c>
      <c r="I5" s="8">
        <v>1484</v>
      </c>
      <c r="J5" s="9">
        <f>J4*0.34</f>
        <v>1564</v>
      </c>
      <c r="K5" s="9">
        <f>K4*0.36</f>
        <v>1644.48</v>
      </c>
      <c r="L5" s="9">
        <f>L4*0.42</f>
        <v>1848.4199999999998</v>
      </c>
      <c r="M5" s="9">
        <f>M4*0.52</f>
        <v>2203.7600000000002</v>
      </c>
      <c r="N5" s="9">
        <f t="shared" ref="N5:S5" si="0">N4*0.6084</f>
        <v>2380.0608000000002</v>
      </c>
      <c r="O5" s="9">
        <f t="shared" si="0"/>
        <v>2280.8916000000004</v>
      </c>
      <c r="P5" s="9">
        <f t="shared" si="0"/>
        <v>3136.1803199999999</v>
      </c>
      <c r="Q5" s="9">
        <f t="shared" si="0"/>
        <v>3020.0976000000001</v>
      </c>
      <c r="R5" s="9">
        <f t="shared" si="0"/>
        <v>2787.8104800000001</v>
      </c>
      <c r="S5" s="9">
        <f t="shared" si="0"/>
        <v>2671.60608</v>
      </c>
    </row>
    <row r="6" spans="1:22" x14ac:dyDescent="0.3">
      <c r="A6" s="7" t="s">
        <v>26</v>
      </c>
      <c r="B6" s="8">
        <f t="shared" ref="B6:S6" si="1">B4-B5</f>
        <v>463</v>
      </c>
      <c r="C6" s="8">
        <f t="shared" si="1"/>
        <v>636</v>
      </c>
      <c r="D6" s="8">
        <f t="shared" si="1"/>
        <v>726</v>
      </c>
      <c r="E6" s="8">
        <f t="shared" si="1"/>
        <v>606</v>
      </c>
      <c r="F6" s="8">
        <f t="shared" si="1"/>
        <v>382</v>
      </c>
      <c r="G6" s="8">
        <f t="shared" si="1"/>
        <v>498</v>
      </c>
      <c r="H6" s="8">
        <f t="shared" si="1"/>
        <v>687</v>
      </c>
      <c r="I6" s="8">
        <f t="shared" si="1"/>
        <v>1541</v>
      </c>
      <c r="J6" s="9">
        <f t="shared" si="1"/>
        <v>3036</v>
      </c>
      <c r="K6" s="9">
        <f t="shared" si="1"/>
        <v>2923.52</v>
      </c>
      <c r="L6" s="9">
        <f t="shared" si="1"/>
        <v>2552.58</v>
      </c>
      <c r="M6" s="9">
        <f t="shared" si="1"/>
        <v>2034.2399999999998</v>
      </c>
      <c r="N6" s="9">
        <f t="shared" si="1"/>
        <v>1531.9391999999998</v>
      </c>
      <c r="O6" s="9">
        <f t="shared" si="1"/>
        <v>1468.1083999999996</v>
      </c>
      <c r="P6" s="9">
        <f t="shared" si="1"/>
        <v>2018.6196799999993</v>
      </c>
      <c r="Q6" s="9">
        <f t="shared" si="1"/>
        <v>1943.9023999999999</v>
      </c>
      <c r="R6" s="9">
        <f t="shared" si="1"/>
        <v>1794.3895199999997</v>
      </c>
      <c r="S6" s="9">
        <f t="shared" si="1"/>
        <v>1719.5939199999998</v>
      </c>
    </row>
    <row r="7" spans="1:22" x14ac:dyDescent="0.3">
      <c r="A7" s="7" t="s">
        <v>27</v>
      </c>
    </row>
    <row r="8" spans="1:22" x14ac:dyDescent="0.3">
      <c r="A8" s="7" t="s">
        <v>28</v>
      </c>
      <c r="B8" s="8">
        <v>277</v>
      </c>
      <c r="C8" s="8">
        <v>298</v>
      </c>
      <c r="D8" s="8">
        <v>283</v>
      </c>
      <c r="E8" s="8">
        <v>279</v>
      </c>
      <c r="F8" s="8">
        <v>285</v>
      </c>
      <c r="G8" s="8">
        <v>285</v>
      </c>
      <c r="H8" s="8">
        <v>316</v>
      </c>
      <c r="I8" s="8">
        <v>327</v>
      </c>
      <c r="J8" s="9">
        <f t="shared" ref="J8:S8" si="2">J4*0.125</f>
        <v>575</v>
      </c>
      <c r="K8" s="9">
        <f t="shared" si="2"/>
        <v>571</v>
      </c>
      <c r="L8" s="9">
        <f t="shared" si="2"/>
        <v>550.125</v>
      </c>
      <c r="M8" s="9">
        <f t="shared" si="2"/>
        <v>529.75</v>
      </c>
      <c r="N8" s="9">
        <f t="shared" si="2"/>
        <v>489</v>
      </c>
      <c r="O8" s="9">
        <f t="shared" si="2"/>
        <v>468.625</v>
      </c>
      <c r="P8" s="9">
        <f t="shared" si="2"/>
        <v>644.34999999999991</v>
      </c>
      <c r="Q8" s="9">
        <f t="shared" si="2"/>
        <v>620.5</v>
      </c>
      <c r="R8" s="9">
        <f t="shared" si="2"/>
        <v>572.77499999999998</v>
      </c>
      <c r="S8" s="9">
        <f t="shared" si="2"/>
        <v>548.9</v>
      </c>
    </row>
    <row r="9" spans="1:22" x14ac:dyDescent="0.3">
      <c r="A9" s="7" t="s">
        <v>29</v>
      </c>
      <c r="B9" s="8">
        <v>107</v>
      </c>
      <c r="C9" s="8">
        <v>117</v>
      </c>
      <c r="D9" s="8">
        <v>130</v>
      </c>
      <c r="E9" s="8">
        <v>142</v>
      </c>
      <c r="F9" s="8">
        <v>139</v>
      </c>
      <c r="G9" s="8">
        <v>162</v>
      </c>
      <c r="H9" s="8">
        <v>179</v>
      </c>
      <c r="I9" s="8">
        <v>139</v>
      </c>
      <c r="J9" s="9">
        <f t="shared" ref="J9:S9" si="3">J4*0.063</f>
        <v>289.8</v>
      </c>
      <c r="K9" s="9">
        <f t="shared" si="3"/>
        <v>287.78399999999999</v>
      </c>
      <c r="L9" s="9">
        <f t="shared" si="3"/>
        <v>277.26299999999998</v>
      </c>
      <c r="M9" s="9">
        <f t="shared" si="3"/>
        <v>266.99400000000003</v>
      </c>
      <c r="N9" s="9">
        <f t="shared" si="3"/>
        <v>246.45599999999999</v>
      </c>
      <c r="O9" s="9">
        <f t="shared" si="3"/>
        <v>236.18700000000001</v>
      </c>
      <c r="P9" s="9">
        <f t="shared" si="3"/>
        <v>324.75239999999997</v>
      </c>
      <c r="Q9" s="9">
        <f t="shared" si="3"/>
        <v>312.73200000000003</v>
      </c>
      <c r="R9" s="9">
        <f t="shared" si="3"/>
        <v>288.67860000000002</v>
      </c>
      <c r="S9" s="9">
        <f t="shared" si="3"/>
        <v>276.6456</v>
      </c>
    </row>
    <row r="10" spans="1:22" x14ac:dyDescent="0.3">
      <c r="A10" s="7" t="s">
        <v>30</v>
      </c>
      <c r="B10" s="8">
        <f t="shared" ref="B10:S10" si="4">B7+B8+B9</f>
        <v>384</v>
      </c>
      <c r="C10" s="8">
        <f t="shared" si="4"/>
        <v>415</v>
      </c>
      <c r="D10" s="8">
        <f t="shared" si="4"/>
        <v>413</v>
      </c>
      <c r="E10" s="8">
        <f t="shared" si="4"/>
        <v>421</v>
      </c>
      <c r="F10" s="8">
        <f t="shared" si="4"/>
        <v>424</v>
      </c>
      <c r="G10" s="8">
        <f t="shared" si="4"/>
        <v>447</v>
      </c>
      <c r="H10" s="8">
        <f t="shared" si="4"/>
        <v>495</v>
      </c>
      <c r="I10" s="8">
        <f t="shared" si="4"/>
        <v>466</v>
      </c>
      <c r="J10" s="9">
        <f t="shared" si="4"/>
        <v>864.8</v>
      </c>
      <c r="K10" s="9">
        <f t="shared" si="4"/>
        <v>858.78399999999999</v>
      </c>
      <c r="L10" s="9">
        <f t="shared" si="4"/>
        <v>827.38799999999992</v>
      </c>
      <c r="M10" s="9">
        <f t="shared" si="4"/>
        <v>796.74400000000003</v>
      </c>
      <c r="N10" s="9">
        <f t="shared" si="4"/>
        <v>735.45600000000002</v>
      </c>
      <c r="O10" s="9">
        <f t="shared" si="4"/>
        <v>704.81200000000001</v>
      </c>
      <c r="P10" s="9">
        <f t="shared" si="4"/>
        <v>969.10239999999988</v>
      </c>
      <c r="Q10" s="9">
        <f t="shared" si="4"/>
        <v>933.23199999999997</v>
      </c>
      <c r="R10" s="9">
        <f t="shared" si="4"/>
        <v>861.45360000000005</v>
      </c>
      <c r="S10" s="9">
        <f t="shared" si="4"/>
        <v>825.54559999999992</v>
      </c>
    </row>
    <row r="11" spans="1:22" x14ac:dyDescent="0.3">
      <c r="A11" s="7" t="s">
        <v>31</v>
      </c>
      <c r="B11" s="8">
        <f t="shared" ref="B11:S11" si="5">B6-B10</f>
        <v>79</v>
      </c>
      <c r="C11" s="8">
        <f t="shared" si="5"/>
        <v>221</v>
      </c>
      <c r="D11" s="8">
        <f t="shared" si="5"/>
        <v>313</v>
      </c>
      <c r="E11" s="8">
        <f t="shared" si="5"/>
        <v>185</v>
      </c>
      <c r="F11" s="8">
        <f t="shared" si="5"/>
        <v>-42</v>
      </c>
      <c r="G11" s="8">
        <f t="shared" si="5"/>
        <v>51</v>
      </c>
      <c r="H11" s="8">
        <f t="shared" si="5"/>
        <v>192</v>
      </c>
      <c r="I11" s="8">
        <f t="shared" si="5"/>
        <v>1075</v>
      </c>
      <c r="J11" s="9">
        <f t="shared" si="5"/>
        <v>2171.1999999999998</v>
      </c>
      <c r="K11" s="9">
        <f t="shared" si="5"/>
        <v>2064.7359999999999</v>
      </c>
      <c r="L11" s="9">
        <f t="shared" si="5"/>
        <v>1725.192</v>
      </c>
      <c r="M11" s="9">
        <f t="shared" si="5"/>
        <v>1237.4959999999996</v>
      </c>
      <c r="N11" s="9">
        <f t="shared" si="5"/>
        <v>796.48319999999978</v>
      </c>
      <c r="O11" s="9">
        <f t="shared" si="5"/>
        <v>763.29639999999961</v>
      </c>
      <c r="P11" s="9">
        <f t="shared" si="5"/>
        <v>1049.5172799999996</v>
      </c>
      <c r="Q11" s="9">
        <f t="shared" si="5"/>
        <v>1010.6704</v>
      </c>
      <c r="R11" s="9">
        <f t="shared" si="5"/>
        <v>932.93591999999967</v>
      </c>
      <c r="S11" s="9">
        <f t="shared" si="5"/>
        <v>894.04831999999988</v>
      </c>
    </row>
    <row r="12" spans="1:22" x14ac:dyDescent="0.3">
      <c r="A12" s="7" t="s">
        <v>32</v>
      </c>
      <c r="B12" s="8">
        <v>-11</v>
      </c>
      <c r="C12" s="8">
        <v>-2</v>
      </c>
      <c r="D12" s="8">
        <v>-24</v>
      </c>
      <c r="E12" s="8">
        <v>-22</v>
      </c>
      <c r="F12" s="8">
        <v>-20</v>
      </c>
      <c r="G12" s="8">
        <v>-36</v>
      </c>
      <c r="H12" s="8">
        <v>-52</v>
      </c>
      <c r="I12" s="8">
        <v>-128</v>
      </c>
      <c r="J12" s="9">
        <f t="shared" ref="J12:S12" si="6">J4*-0.0324</f>
        <v>-149.04</v>
      </c>
      <c r="K12" s="9">
        <f t="shared" si="6"/>
        <v>-148.00319999999999</v>
      </c>
      <c r="L12" s="9">
        <f t="shared" si="6"/>
        <v>-142.5924</v>
      </c>
      <c r="M12" s="9">
        <f t="shared" si="6"/>
        <v>-137.31119999999999</v>
      </c>
      <c r="N12" s="9">
        <f t="shared" si="6"/>
        <v>-126.74879999999999</v>
      </c>
      <c r="O12" s="9">
        <f t="shared" si="6"/>
        <v>-121.46759999999999</v>
      </c>
      <c r="P12" s="9">
        <f t="shared" si="6"/>
        <v>-167.01551999999998</v>
      </c>
      <c r="Q12" s="9">
        <f t="shared" si="6"/>
        <v>-160.83359999999999</v>
      </c>
      <c r="R12" s="9">
        <f t="shared" si="6"/>
        <v>-148.46328</v>
      </c>
      <c r="S12" s="9">
        <f t="shared" si="6"/>
        <v>-142.27488</v>
      </c>
    </row>
    <row r="13" spans="1:22" x14ac:dyDescent="0.3">
      <c r="A13" s="7" t="s">
        <v>33</v>
      </c>
      <c r="B13" s="8">
        <v>54</v>
      </c>
      <c r="C13" s="8">
        <v>-503</v>
      </c>
      <c r="D13" s="8">
        <v>267</v>
      </c>
      <c r="E13" s="8">
        <v>173</v>
      </c>
      <c r="F13" s="8">
        <v>-1901</v>
      </c>
      <c r="G13" s="8">
        <v>-1479</v>
      </c>
      <c r="H13" s="8">
        <v>124</v>
      </c>
      <c r="I13" s="8">
        <v>937</v>
      </c>
      <c r="J13" s="9">
        <f t="shared" ref="J13:S13" si="7">J11+J12</f>
        <v>2022.1599999999999</v>
      </c>
      <c r="K13" s="9">
        <f t="shared" si="7"/>
        <v>1916.7327999999998</v>
      </c>
      <c r="L13" s="9">
        <f t="shared" si="7"/>
        <v>1582.5996</v>
      </c>
      <c r="M13" s="9">
        <f t="shared" si="7"/>
        <v>1100.1847999999995</v>
      </c>
      <c r="N13" s="9">
        <f t="shared" si="7"/>
        <v>669.73439999999982</v>
      </c>
      <c r="O13" s="9">
        <f t="shared" si="7"/>
        <v>641.82879999999966</v>
      </c>
      <c r="P13" s="9">
        <f t="shared" si="7"/>
        <v>882.50175999999965</v>
      </c>
      <c r="Q13" s="9">
        <f t="shared" si="7"/>
        <v>849.83680000000004</v>
      </c>
      <c r="R13" s="9">
        <f t="shared" si="7"/>
        <v>784.47263999999973</v>
      </c>
      <c r="S13" s="9">
        <f t="shared" si="7"/>
        <v>751.77343999999994</v>
      </c>
    </row>
    <row r="14" spans="1:22" x14ac:dyDescent="0.3">
      <c r="A14" s="7" t="s">
        <v>34</v>
      </c>
      <c r="B14" s="8">
        <v>27</v>
      </c>
      <c r="C14" s="8">
        <v>169</v>
      </c>
      <c r="D14" s="8">
        <v>56</v>
      </c>
      <c r="E14" s="8">
        <v>69</v>
      </c>
      <c r="F14" s="8">
        <v>32</v>
      </c>
      <c r="G14" s="8">
        <v>162</v>
      </c>
      <c r="H14" s="8">
        <v>12</v>
      </c>
      <c r="I14" s="8">
        <v>134</v>
      </c>
      <c r="J14" s="9">
        <f t="shared" ref="J14:S14" si="8">J13*0.1199</f>
        <v>242.45698400000001</v>
      </c>
      <c r="K14" s="9">
        <f t="shared" si="8"/>
        <v>229.81626272</v>
      </c>
      <c r="L14" s="9">
        <f t="shared" si="8"/>
        <v>189.75369204</v>
      </c>
      <c r="M14" s="9">
        <f t="shared" si="8"/>
        <v>131.91215751999997</v>
      </c>
      <c r="N14" s="9">
        <f t="shared" si="8"/>
        <v>80.301154559999986</v>
      </c>
      <c r="O14" s="9">
        <f t="shared" si="8"/>
        <v>76.955273119999958</v>
      </c>
      <c r="P14" s="9">
        <f t="shared" si="8"/>
        <v>105.81196102399997</v>
      </c>
      <c r="Q14" s="9">
        <f t="shared" si="8"/>
        <v>101.89543232000001</v>
      </c>
      <c r="R14" s="9">
        <f t="shared" si="8"/>
        <v>94.058269535999969</v>
      </c>
      <c r="S14" s="9">
        <f t="shared" si="8"/>
        <v>90.137635455999998</v>
      </c>
    </row>
    <row r="15" spans="1:22" x14ac:dyDescent="0.3">
      <c r="A15" s="7" t="s">
        <v>35</v>
      </c>
      <c r="B15" s="8">
        <v>27</v>
      </c>
      <c r="C15" s="8">
        <v>120</v>
      </c>
      <c r="D15" s="8">
        <v>211</v>
      </c>
      <c r="E15" s="8">
        <v>104</v>
      </c>
      <c r="F15" s="8">
        <v>-1933</v>
      </c>
      <c r="G15" s="8">
        <v>-23</v>
      </c>
      <c r="H15" s="8">
        <v>112</v>
      </c>
      <c r="I15" s="8">
        <v>803</v>
      </c>
      <c r="J15" s="9">
        <f t="shared" ref="J15:S15" si="9">J13-J14</f>
        <v>1779.7030159999999</v>
      </c>
      <c r="K15" s="9">
        <f t="shared" si="9"/>
        <v>1686.9165372799998</v>
      </c>
      <c r="L15" s="9">
        <f t="shared" si="9"/>
        <v>1392.84590796</v>
      </c>
      <c r="M15" s="9">
        <f t="shared" si="9"/>
        <v>968.2726424799996</v>
      </c>
      <c r="N15" s="9">
        <f t="shared" si="9"/>
        <v>589.43324543999984</v>
      </c>
      <c r="O15" s="9">
        <f t="shared" si="9"/>
        <v>564.87352687999964</v>
      </c>
      <c r="P15" s="9">
        <f t="shared" si="9"/>
        <v>776.68979897599968</v>
      </c>
      <c r="Q15" s="9">
        <f t="shared" si="9"/>
        <v>747.94136767999998</v>
      </c>
      <c r="R15" s="9">
        <f t="shared" si="9"/>
        <v>690.41437046399972</v>
      </c>
      <c r="S15" s="9">
        <f t="shared" si="9"/>
        <v>661.63580454399994</v>
      </c>
    </row>
    <row r="16" spans="1:22" x14ac:dyDescent="0.3">
      <c r="A16" s="7" t="s">
        <v>36</v>
      </c>
      <c r="B16" s="10">
        <v>0.19</v>
      </c>
      <c r="D16" s="10">
        <v>1.46</v>
      </c>
      <c r="E16" s="10">
        <v>0.72</v>
      </c>
      <c r="F16" s="10">
        <v>-13.33</v>
      </c>
      <c r="H16" s="10">
        <v>0.75</v>
      </c>
      <c r="I16" s="10">
        <v>5.15</v>
      </c>
      <c r="J16" s="11">
        <f t="shared" ref="J16:S16" si="10">IF(J17&lt;&gt;0,J15/J17,"")</f>
        <v>11.412274124376616</v>
      </c>
      <c r="K16" s="11">
        <f t="shared" si="10"/>
        <v>10.820810134380922</v>
      </c>
      <c r="L16" s="11">
        <f t="shared" si="10"/>
        <v>8.936884397980398</v>
      </c>
      <c r="M16" s="11">
        <f t="shared" si="10"/>
        <v>6.2138677268315758</v>
      </c>
      <c r="N16" s="11">
        <f t="shared" si="10"/>
        <v>3.7831055091713597</v>
      </c>
      <c r="O16" s="11">
        <f t="shared" si="10"/>
        <v>3.6258720534547311</v>
      </c>
      <c r="P16" s="11">
        <f t="shared" si="10"/>
        <v>4.9862502841229839</v>
      </c>
      <c r="Q16" s="11">
        <f t="shared" si="10"/>
        <v>4.802383540528397</v>
      </c>
      <c r="R16" s="11">
        <f t="shared" si="10"/>
        <v>4.4336060553627421</v>
      </c>
      <c r="S16" s="11">
        <f t="shared" si="10"/>
        <v>4.2493437035365602</v>
      </c>
    </row>
    <row r="17" spans="1:19" x14ac:dyDescent="0.3">
      <c r="A17" s="7" t="s">
        <v>37</v>
      </c>
      <c r="B17" s="8">
        <v>145</v>
      </c>
      <c r="D17" s="8">
        <v>145</v>
      </c>
      <c r="E17" s="8">
        <v>145</v>
      </c>
      <c r="F17" s="8">
        <v>145</v>
      </c>
      <c r="H17" s="8">
        <v>149</v>
      </c>
      <c r="I17" s="8">
        <v>156</v>
      </c>
      <c r="J17" s="9">
        <f>156-(J15*0.55*0.05/913.02)</f>
        <v>155.94639566171605</v>
      </c>
      <c r="K17" s="9">
        <f t="shared" ref="K17:S17" si="11">J17-(K15*0.55*0.05/913.02)</f>
        <v>155.89558603566712</v>
      </c>
      <c r="L17" s="9">
        <f t="shared" si="11"/>
        <v>155.8536337646666</v>
      </c>
      <c r="M17" s="9">
        <f t="shared" si="11"/>
        <v>155.82446956490296</v>
      </c>
      <c r="N17" s="9">
        <f t="shared" si="11"/>
        <v>155.80671594039353</v>
      </c>
      <c r="O17" s="9">
        <f t="shared" si="11"/>
        <v>155.78970205023867</v>
      </c>
      <c r="P17" s="9">
        <f t="shared" si="11"/>
        <v>155.76630829164429</v>
      </c>
      <c r="Q17" s="9">
        <f t="shared" si="11"/>
        <v>155.74378043068702</v>
      </c>
      <c r="R17" s="9">
        <f t="shared" si="11"/>
        <v>155.72298527265352</v>
      </c>
      <c r="S17" s="9">
        <f t="shared" si="11"/>
        <v>155.70305691990663</v>
      </c>
    </row>
    <row r="19" spans="1:19" x14ac:dyDescent="0.3">
      <c r="A19" s="7" t="s">
        <v>38</v>
      </c>
      <c r="F19" s="12">
        <f t="shared" ref="F19:S19" si="12">F4/B4-1</f>
        <v>-5.8651026392961825E-3</v>
      </c>
      <c r="G19" s="12">
        <f t="shared" si="12"/>
        <v>8.0113636363636331E-2</v>
      </c>
      <c r="H19" s="12">
        <f t="shared" si="12"/>
        <v>0.22570366436537448</v>
      </c>
      <c r="I19" s="12">
        <f t="shared" si="12"/>
        <v>0.61247334754797444</v>
      </c>
      <c r="J19" s="13">
        <f t="shared" si="12"/>
        <v>1.7138643067846608</v>
      </c>
      <c r="K19" s="13">
        <f t="shared" si="12"/>
        <v>1.4029458179905312</v>
      </c>
      <c r="L19" s="13">
        <f t="shared" si="12"/>
        <v>0.90684575389948008</v>
      </c>
      <c r="M19" s="13">
        <f t="shared" si="12"/>
        <v>0.40099173553719014</v>
      </c>
      <c r="N19" s="13">
        <f t="shared" si="12"/>
        <v>-0.14956521739130435</v>
      </c>
      <c r="O19" s="13">
        <f t="shared" si="12"/>
        <v>-0.17929071803852892</v>
      </c>
      <c r="P19" s="13">
        <f t="shared" si="12"/>
        <v>0.1712792547148374</v>
      </c>
      <c r="Q19" s="13">
        <f t="shared" si="12"/>
        <v>0.17130722038697499</v>
      </c>
      <c r="R19" s="13">
        <f t="shared" si="12"/>
        <v>0.17131901840490782</v>
      </c>
      <c r="S19" s="13">
        <f t="shared" si="12"/>
        <v>0.17129901307015194</v>
      </c>
    </row>
    <row r="20" spans="1:19" x14ac:dyDescent="0.3">
      <c r="A20" s="7" t="s">
        <v>39</v>
      </c>
      <c r="B20" s="12">
        <f t="shared" ref="B20:S20" si="13">IF(B4&lt;&gt;0,B6/B4,"")</f>
        <v>0.27155425219941348</v>
      </c>
      <c r="C20" s="12">
        <f t="shared" si="13"/>
        <v>0.36136363636363639</v>
      </c>
      <c r="D20" s="12">
        <f t="shared" si="13"/>
        <v>0.38555496548061602</v>
      </c>
      <c r="E20" s="12">
        <f t="shared" si="13"/>
        <v>0.32302771855010659</v>
      </c>
      <c r="F20" s="12">
        <f t="shared" si="13"/>
        <v>0.22536873156342183</v>
      </c>
      <c r="G20" s="12">
        <f t="shared" si="13"/>
        <v>0.26196738558653343</v>
      </c>
      <c r="H20" s="12">
        <f t="shared" si="13"/>
        <v>0.29766031195840553</v>
      </c>
      <c r="I20" s="12">
        <f t="shared" si="13"/>
        <v>0.50942148760330574</v>
      </c>
      <c r="J20" s="13">
        <f t="shared" si="13"/>
        <v>0.66</v>
      </c>
      <c r="K20" s="13">
        <f t="shared" si="13"/>
        <v>0.64</v>
      </c>
      <c r="L20" s="13">
        <f t="shared" si="13"/>
        <v>0.57999999999999996</v>
      </c>
      <c r="M20" s="13">
        <f t="shared" si="13"/>
        <v>0.47999999999999993</v>
      </c>
      <c r="N20" s="13">
        <f t="shared" si="13"/>
        <v>0.39159999999999995</v>
      </c>
      <c r="O20" s="13">
        <f t="shared" si="13"/>
        <v>0.39159999999999989</v>
      </c>
      <c r="P20" s="13">
        <f t="shared" si="13"/>
        <v>0.39159999999999995</v>
      </c>
      <c r="Q20" s="13">
        <f t="shared" si="13"/>
        <v>0.3916</v>
      </c>
      <c r="R20" s="13">
        <f t="shared" si="13"/>
        <v>0.39159999999999995</v>
      </c>
      <c r="S20" s="13">
        <f t="shared" si="13"/>
        <v>0.39159999999999995</v>
      </c>
    </row>
    <row r="22" spans="1:19" x14ac:dyDescent="0.3">
      <c r="A22" s="7" t="s">
        <v>40</v>
      </c>
      <c r="B22" s="8">
        <v>-12</v>
      </c>
      <c r="C22" s="8">
        <v>-130</v>
      </c>
      <c r="D22" s="8">
        <v>-131</v>
      </c>
      <c r="E22" s="8">
        <v>95</v>
      </c>
      <c r="F22" s="8">
        <v>26</v>
      </c>
      <c r="G22" s="8">
        <v>94</v>
      </c>
      <c r="H22" s="8">
        <v>488</v>
      </c>
      <c r="I22" s="8">
        <v>1019</v>
      </c>
      <c r="J22" s="9">
        <f t="shared" ref="J22:S22" si="14">J4*0.2741</f>
        <v>1260.8600000000001</v>
      </c>
      <c r="K22" s="9">
        <f t="shared" si="14"/>
        <v>1252.0888</v>
      </c>
      <c r="L22" s="9">
        <f t="shared" si="14"/>
        <v>1206.3141000000001</v>
      </c>
      <c r="M22" s="9">
        <f t="shared" si="14"/>
        <v>1161.6358</v>
      </c>
      <c r="N22" s="9">
        <f t="shared" si="14"/>
        <v>1072.2791999999999</v>
      </c>
      <c r="O22" s="9">
        <f t="shared" si="14"/>
        <v>1027.6009000000001</v>
      </c>
      <c r="P22" s="9">
        <f t="shared" si="14"/>
        <v>1412.9306799999999</v>
      </c>
      <c r="Q22" s="9">
        <f t="shared" si="14"/>
        <v>1360.6324</v>
      </c>
      <c r="R22" s="9">
        <f t="shared" si="14"/>
        <v>1255.9810199999999</v>
      </c>
      <c r="S22" s="9">
        <f t="shared" si="14"/>
        <v>1203.6279199999999</v>
      </c>
    </row>
    <row r="23" spans="1:19" x14ac:dyDescent="0.3">
      <c r="A23" s="7" t="s">
        <v>41</v>
      </c>
      <c r="B23" s="8">
        <v>29</v>
      </c>
      <c r="C23" s="8">
        <v>38</v>
      </c>
      <c r="D23" s="8">
        <v>67</v>
      </c>
      <c r="E23" s="8">
        <v>48</v>
      </c>
      <c r="F23" s="8">
        <v>44</v>
      </c>
      <c r="G23" s="8">
        <v>45</v>
      </c>
      <c r="H23" s="8">
        <v>50</v>
      </c>
      <c r="I23" s="8">
        <v>39</v>
      </c>
      <c r="J23" s="9">
        <f t="shared" ref="J23:S23" si="15">J4*0.0173</f>
        <v>79.58</v>
      </c>
      <c r="K23" s="9">
        <f t="shared" si="15"/>
        <v>79.026399999999995</v>
      </c>
      <c r="L23" s="9">
        <f t="shared" si="15"/>
        <v>76.137299999999996</v>
      </c>
      <c r="M23" s="9">
        <f t="shared" si="15"/>
        <v>73.317399999999992</v>
      </c>
      <c r="N23" s="9">
        <f t="shared" si="15"/>
        <v>67.677599999999998</v>
      </c>
      <c r="O23" s="9">
        <f t="shared" si="15"/>
        <v>64.857699999999994</v>
      </c>
      <c r="P23" s="9">
        <f t="shared" si="15"/>
        <v>89.178039999999982</v>
      </c>
      <c r="Q23" s="9">
        <f t="shared" si="15"/>
        <v>85.877200000000002</v>
      </c>
      <c r="R23" s="9">
        <f t="shared" si="15"/>
        <v>79.272059999999996</v>
      </c>
      <c r="S23" s="9">
        <f t="shared" si="15"/>
        <v>75.967759999999998</v>
      </c>
    </row>
    <row r="24" spans="1:19" x14ac:dyDescent="0.3">
      <c r="A24" s="7" t="s">
        <v>42</v>
      </c>
      <c r="B24" s="8">
        <f t="shared" ref="B24:S24" si="16">B22-B23</f>
        <v>-41</v>
      </c>
      <c r="C24" s="8">
        <f t="shared" si="16"/>
        <v>-168</v>
      </c>
      <c r="D24" s="8">
        <f t="shared" si="16"/>
        <v>-198</v>
      </c>
      <c r="E24" s="8">
        <f t="shared" si="16"/>
        <v>47</v>
      </c>
      <c r="F24" s="8">
        <f t="shared" si="16"/>
        <v>-18</v>
      </c>
      <c r="G24" s="8">
        <f t="shared" si="16"/>
        <v>49</v>
      </c>
      <c r="H24" s="8">
        <f t="shared" si="16"/>
        <v>438</v>
      </c>
      <c r="I24" s="8">
        <f t="shared" si="16"/>
        <v>980</v>
      </c>
      <c r="J24" s="9">
        <f t="shared" si="16"/>
        <v>1181.2800000000002</v>
      </c>
      <c r="K24" s="9">
        <f t="shared" si="16"/>
        <v>1173.0624</v>
      </c>
      <c r="L24" s="9">
        <f t="shared" si="16"/>
        <v>1130.1768</v>
      </c>
      <c r="M24" s="9">
        <f t="shared" si="16"/>
        <v>1088.3184000000001</v>
      </c>
      <c r="N24" s="9">
        <f t="shared" si="16"/>
        <v>1004.6016</v>
      </c>
      <c r="O24" s="9">
        <f t="shared" si="16"/>
        <v>962.74320000000012</v>
      </c>
      <c r="P24" s="9">
        <f t="shared" si="16"/>
        <v>1323.7526399999999</v>
      </c>
      <c r="Q24" s="9">
        <f t="shared" si="16"/>
        <v>1274.7552000000001</v>
      </c>
      <c r="R24" s="9">
        <f t="shared" si="16"/>
        <v>1176.7089599999999</v>
      </c>
      <c r="S24" s="9">
        <f t="shared" si="16"/>
        <v>1127.6601599999999</v>
      </c>
    </row>
    <row r="25" spans="1:19" x14ac:dyDescent="0.3">
      <c r="A25" s="7" t="s">
        <v>43</v>
      </c>
      <c r="B25" s="12">
        <f t="shared" ref="B25:S25" si="17">IF(B4&lt;&gt;0,B22/B4,"")</f>
        <v>-7.0381231671554252E-3</v>
      </c>
      <c r="C25" s="12">
        <f t="shared" si="17"/>
        <v>-7.3863636363636367E-2</v>
      </c>
      <c r="D25" s="12">
        <f t="shared" si="17"/>
        <v>-6.9569835369091879E-2</v>
      </c>
      <c r="E25" s="12">
        <f t="shared" si="17"/>
        <v>5.0639658848614072E-2</v>
      </c>
      <c r="F25" s="12">
        <f t="shared" si="17"/>
        <v>1.5339233038348082E-2</v>
      </c>
      <c r="G25" s="12">
        <f t="shared" si="17"/>
        <v>4.944765912677538E-2</v>
      </c>
      <c r="H25" s="12">
        <f t="shared" si="17"/>
        <v>0.21143847487001732</v>
      </c>
      <c r="I25" s="12">
        <f t="shared" si="17"/>
        <v>0.33685950413223142</v>
      </c>
      <c r="J25" s="13">
        <f t="shared" si="17"/>
        <v>0.27410000000000001</v>
      </c>
      <c r="K25" s="13">
        <f t="shared" si="17"/>
        <v>0.27410000000000001</v>
      </c>
      <c r="L25" s="13">
        <f t="shared" si="17"/>
        <v>0.27410000000000001</v>
      </c>
      <c r="M25" s="13">
        <f t="shared" si="17"/>
        <v>0.27410000000000001</v>
      </c>
      <c r="N25" s="13">
        <f t="shared" si="17"/>
        <v>0.27410000000000001</v>
      </c>
      <c r="O25" s="13">
        <f t="shared" si="17"/>
        <v>0.27410000000000001</v>
      </c>
      <c r="P25" s="13">
        <f t="shared" si="17"/>
        <v>0.27410000000000001</v>
      </c>
      <c r="Q25" s="13">
        <f t="shared" si="17"/>
        <v>0.27410000000000001</v>
      </c>
      <c r="R25" s="13">
        <f t="shared" si="17"/>
        <v>0.27410000000000001</v>
      </c>
      <c r="S25" s="13">
        <f t="shared" si="17"/>
        <v>0.27410000000000001</v>
      </c>
    </row>
    <row r="27" spans="1:19" x14ac:dyDescent="0.3">
      <c r="A27" s="7" t="s">
        <v>44</v>
      </c>
      <c r="C27" s="8">
        <v>328</v>
      </c>
      <c r="E27" s="8">
        <v>804</v>
      </c>
      <c r="F27" s="8">
        <v>1507</v>
      </c>
      <c r="G27" s="8">
        <v>1481</v>
      </c>
      <c r="H27" s="8">
        <v>1442</v>
      </c>
      <c r="I27" s="8">
        <v>1539</v>
      </c>
    </row>
    <row r="28" spans="1:19" x14ac:dyDescent="0.3">
      <c r="A28" s="7" t="s">
        <v>45</v>
      </c>
      <c r="C28" s="8">
        <v>935</v>
      </c>
      <c r="E28" s="8">
        <v>904</v>
      </c>
      <c r="F28" s="8">
        <v>979</v>
      </c>
      <c r="G28" s="8">
        <v>1068</v>
      </c>
      <c r="H28" s="8">
        <v>1193</v>
      </c>
      <c r="I28" s="8">
        <v>1239</v>
      </c>
    </row>
    <row r="29" spans="1:19" x14ac:dyDescent="0.3">
      <c r="A29" s="7" t="s">
        <v>46</v>
      </c>
      <c r="C29" s="8">
        <v>221</v>
      </c>
      <c r="E29" s="8">
        <v>568</v>
      </c>
      <c r="F29" s="8">
        <v>391</v>
      </c>
      <c r="G29" s="8">
        <v>392</v>
      </c>
      <c r="H29" s="8">
        <v>370</v>
      </c>
      <c r="I29" s="8">
        <v>357</v>
      </c>
    </row>
    <row r="30" spans="1:19" x14ac:dyDescent="0.3">
      <c r="A30" s="7" t="s">
        <v>47</v>
      </c>
      <c r="C30" s="8">
        <v>791</v>
      </c>
      <c r="E30" s="8">
        <v>579</v>
      </c>
      <c r="F30" s="8">
        <v>603</v>
      </c>
      <c r="G30" s="8">
        <v>619</v>
      </c>
      <c r="H30" s="8">
        <v>630</v>
      </c>
      <c r="I30" s="8">
        <v>631</v>
      </c>
    </row>
    <row r="31" spans="1:19" x14ac:dyDescent="0.3">
      <c r="A31" s="7" t="s">
        <v>48</v>
      </c>
      <c r="C31" s="8">
        <v>7207</v>
      </c>
      <c r="E31" s="8">
        <v>6825</v>
      </c>
      <c r="F31" s="8">
        <v>4997</v>
      </c>
      <c r="G31" s="8">
        <v>4999</v>
      </c>
      <c r="H31" s="8">
        <v>4998</v>
      </c>
      <c r="I31" s="8">
        <v>4995</v>
      </c>
    </row>
    <row r="32" spans="1:19" x14ac:dyDescent="0.3">
      <c r="A32" s="7" t="s">
        <v>49</v>
      </c>
      <c r="B32" s="8">
        <f t="shared" ref="B32:I32" si="18">B33-B27-B28-B29-B30-B31</f>
        <v>0</v>
      </c>
      <c r="C32" s="8">
        <f t="shared" si="18"/>
        <v>4024</v>
      </c>
      <c r="D32" s="8">
        <f t="shared" si="18"/>
        <v>0</v>
      </c>
      <c r="E32" s="8">
        <f t="shared" si="18"/>
        <v>4554</v>
      </c>
      <c r="F32" s="8">
        <f t="shared" si="18"/>
        <v>4483</v>
      </c>
      <c r="G32" s="8">
        <f t="shared" si="18"/>
        <v>4426</v>
      </c>
      <c r="H32" s="8">
        <f t="shared" si="18"/>
        <v>4116</v>
      </c>
      <c r="I32" s="8">
        <f t="shared" si="18"/>
        <v>4237</v>
      </c>
    </row>
    <row r="33" spans="1:9" x14ac:dyDescent="0.3">
      <c r="A33" s="7" t="s">
        <v>50</v>
      </c>
      <c r="C33" s="8">
        <v>13506</v>
      </c>
      <c r="E33" s="8">
        <v>14234</v>
      </c>
      <c r="F33" s="8">
        <v>12960</v>
      </c>
      <c r="G33" s="8">
        <v>12985</v>
      </c>
      <c r="H33" s="8">
        <v>12749</v>
      </c>
      <c r="I33" s="8">
        <v>12998</v>
      </c>
    </row>
    <row r="35" spans="1:9" x14ac:dyDescent="0.3">
      <c r="A35" s="7" t="s">
        <v>51</v>
      </c>
    </row>
    <row r="36" spans="1:9" x14ac:dyDescent="0.3">
      <c r="A36" s="7" t="s">
        <v>52</v>
      </c>
      <c r="C36" s="8">
        <v>424</v>
      </c>
      <c r="E36" s="8">
        <v>438</v>
      </c>
      <c r="F36" s="8">
        <v>446</v>
      </c>
      <c r="G36" s="8">
        <v>425</v>
      </c>
      <c r="H36" s="8">
        <v>382</v>
      </c>
      <c r="I36" s="8">
        <v>393</v>
      </c>
    </row>
    <row r="37" spans="1:9" x14ac:dyDescent="0.3">
      <c r="A37" s="7" t="s">
        <v>53</v>
      </c>
    </row>
    <row r="38" spans="1:9" x14ac:dyDescent="0.3">
      <c r="A38" s="7" t="s">
        <v>54</v>
      </c>
      <c r="C38" s="8">
        <v>0</v>
      </c>
      <c r="F38" s="8">
        <v>1947</v>
      </c>
      <c r="G38" s="8">
        <v>1849</v>
      </c>
      <c r="H38" s="8">
        <v>1351</v>
      </c>
      <c r="I38" s="8">
        <v>603</v>
      </c>
    </row>
    <row r="39" spans="1:9" x14ac:dyDescent="0.3">
      <c r="A39" s="7" t="s">
        <v>55</v>
      </c>
      <c r="C39" s="8">
        <f>2424-C35-C36-C37-C38</f>
        <v>2000</v>
      </c>
      <c r="E39" s="8">
        <f>2233-E35-E36-E37-E38</f>
        <v>1795</v>
      </c>
      <c r="F39" s="8">
        <f>3799-F35-F36-F37-F38</f>
        <v>1406</v>
      </c>
      <c r="G39" s="8">
        <f>3769-G35-G36-G37-G38</f>
        <v>1495</v>
      </c>
      <c r="H39" s="8">
        <f>3368-H35-H36-H37-H38</f>
        <v>1635</v>
      </c>
      <c r="I39" s="8">
        <f>2785-I35-I36-I37-I38</f>
        <v>1789</v>
      </c>
    </row>
    <row r="40" spans="1:9" x14ac:dyDescent="0.3">
      <c r="A40" s="7" t="s">
        <v>56</v>
      </c>
      <c r="B40" s="8">
        <v>10939</v>
      </c>
      <c r="C40" s="8">
        <v>11082</v>
      </c>
      <c r="D40" s="8">
        <v>12126</v>
      </c>
      <c r="E40" s="8">
        <v>12001</v>
      </c>
      <c r="F40" s="8">
        <v>9161</v>
      </c>
      <c r="G40" s="8">
        <v>9216</v>
      </c>
      <c r="H40" s="8">
        <v>9381</v>
      </c>
      <c r="I40" s="8">
        <v>10213</v>
      </c>
    </row>
    <row r="41" spans="1:9" x14ac:dyDescent="0.3">
      <c r="A41" s="7" t="s">
        <v>57</v>
      </c>
      <c r="B41" s="8">
        <f t="shared" ref="B41:I41" si="19">B35+B36+B37+B38+B39+B40</f>
        <v>10939</v>
      </c>
      <c r="C41" s="8">
        <f t="shared" si="19"/>
        <v>13506</v>
      </c>
      <c r="D41" s="8">
        <f t="shared" si="19"/>
        <v>12126</v>
      </c>
      <c r="E41" s="8">
        <f t="shared" si="19"/>
        <v>14234</v>
      </c>
      <c r="F41" s="8">
        <f t="shared" si="19"/>
        <v>12960</v>
      </c>
      <c r="G41" s="8">
        <f t="shared" si="19"/>
        <v>12985</v>
      </c>
      <c r="H41" s="8">
        <f t="shared" si="19"/>
        <v>12749</v>
      </c>
      <c r="I41" s="8">
        <f t="shared" si="19"/>
        <v>12998</v>
      </c>
    </row>
    <row r="43" spans="1:9" x14ac:dyDescent="0.3">
      <c r="A43" s="14" t="s">
        <v>58</v>
      </c>
    </row>
    <row r="44" spans="1:9" x14ac:dyDescent="0.3">
      <c r="A44" s="7"/>
      <c r="B44" s="5" t="s">
        <v>59</v>
      </c>
      <c r="C44" s="5" t="s">
        <v>60</v>
      </c>
      <c r="D44" s="5" t="s">
        <v>61</v>
      </c>
      <c r="E44" s="5" t="s">
        <v>62</v>
      </c>
    </row>
    <row r="45" spans="1:9" x14ac:dyDescent="0.3">
      <c r="A45" s="7" t="s">
        <v>23</v>
      </c>
      <c r="B45" s="15">
        <f>D4+E4+F4+G4</f>
        <v>7355</v>
      </c>
      <c r="C45" s="16">
        <f>H4+I4+J4+K4</f>
        <v>14501</v>
      </c>
      <c r="D45" s="16">
        <f>L4+M4+N4+O4</f>
        <v>16300</v>
      </c>
      <c r="E45" s="16">
        <f>P4+Q4+R4+S4</f>
        <v>19092.2</v>
      </c>
    </row>
    <row r="46" spans="1:9" x14ac:dyDescent="0.3">
      <c r="A46" s="7" t="s">
        <v>26</v>
      </c>
      <c r="B46" s="15">
        <f>D6+E6+F6+G6</f>
        <v>2212</v>
      </c>
      <c r="C46" s="16">
        <f>H6+I6+J6+K6</f>
        <v>8187.52</v>
      </c>
      <c r="D46" s="16">
        <f>L6+M6+N6+O6</f>
        <v>7586.8675999999996</v>
      </c>
      <c r="E46" s="16">
        <f>P6+Q6+R6+S6</f>
        <v>7476.5055199999988</v>
      </c>
    </row>
    <row r="47" spans="1:9" x14ac:dyDescent="0.3">
      <c r="A47" s="7" t="s">
        <v>31</v>
      </c>
      <c r="B47" s="15">
        <f>D11+E11+F11+G11</f>
        <v>507</v>
      </c>
      <c r="C47" s="16">
        <f>H11+I11+J11+K11</f>
        <v>5502.9359999999997</v>
      </c>
      <c r="D47" s="16">
        <f>L11+M11+N11+O11</f>
        <v>4522.467599999999</v>
      </c>
      <c r="E47" s="16">
        <f>P11+Q11+R11+S11</f>
        <v>3887.1719199999989</v>
      </c>
    </row>
    <row r="48" spans="1:9" x14ac:dyDescent="0.3">
      <c r="A48" s="7" t="s">
        <v>35</v>
      </c>
      <c r="B48" s="15">
        <f>D15+E15+F15+G15</f>
        <v>-1641</v>
      </c>
      <c r="C48" s="16">
        <f>H15+I15+J15+K15</f>
        <v>4381.6195532799993</v>
      </c>
      <c r="D48" s="16">
        <f>L15+M15+N15+O15</f>
        <v>3515.4253227599988</v>
      </c>
      <c r="E48" s="16">
        <f>P15+Q15+R15+S15</f>
        <v>2876.6813416639989</v>
      </c>
    </row>
    <row r="49" spans="1:5" x14ac:dyDescent="0.3">
      <c r="A49" s="7" t="s">
        <v>36</v>
      </c>
      <c r="B49" s="17">
        <f>D16+E16+F16+G16</f>
        <v>-11.15</v>
      </c>
      <c r="C49" s="18">
        <f>H16+I16+J16+K16</f>
        <v>28.133084258757535</v>
      </c>
      <c r="D49" s="18">
        <f>L16+M16+N16+O16</f>
        <v>22.559729687438065</v>
      </c>
      <c r="E49" s="18">
        <f>P16+Q16+R16+S16</f>
        <v>18.471583583550682</v>
      </c>
    </row>
    <row r="50" spans="1:5" x14ac:dyDescent="0.3">
      <c r="A50" s="7" t="s">
        <v>42</v>
      </c>
      <c r="B50" s="15">
        <f>D24+E24+F24+G24</f>
        <v>-120</v>
      </c>
      <c r="C50" s="16">
        <f>H24+I24+J24+K24</f>
        <v>3772.3424000000005</v>
      </c>
      <c r="D50" s="16">
        <f>L24+M24+N24+O24</f>
        <v>4185.84</v>
      </c>
      <c r="E50" s="16">
        <f>P24+Q24+R24+S24</f>
        <v>4902.8769599999996</v>
      </c>
    </row>
    <row r="52" spans="1:5" x14ac:dyDescent="0.3">
      <c r="A52" s="7" t="s">
        <v>63</v>
      </c>
      <c r="B52" s="19"/>
      <c r="C52" s="20">
        <f>(H4+I4+J4+K4)/(D4+E4+F4+G4)-1</f>
        <v>0.97158395649218221</v>
      </c>
      <c r="D52" s="20">
        <f>(L4+M4+N4+O4)/(H4+I4+J4+K4)-1</f>
        <v>0.12406040962692222</v>
      </c>
      <c r="E52" s="20">
        <f>(P4+Q4+R4+S4)/(L4+M4+N4+O4)-1</f>
        <v>0.1713006134969326</v>
      </c>
    </row>
    <row r="53" spans="1:5" x14ac:dyDescent="0.3">
      <c r="A53" s="7" t="s">
        <v>39</v>
      </c>
      <c r="B53" s="19">
        <f>IF((D4+E4+F4+G4)&lt;&gt;0,(D6+E6+F6+G6)/(D4+E4+F4+G4),"")</f>
        <v>0.30074779061862678</v>
      </c>
      <c r="C53" s="20">
        <f>IF((H4+I4+J4+K4)&lt;&gt;0,(H6+I6+J6+K6)/(H4+I4+J4+K4),"")</f>
        <v>0.5646176125784429</v>
      </c>
      <c r="D53" s="20">
        <f>IF((L4+M4+N4+O4)&lt;&gt;0,(L6+M6+N6+O6)/(L4+M4+N4+O4),"")</f>
        <v>0.46545199999999998</v>
      </c>
      <c r="E53" s="20">
        <f>IF((P4+Q4+R4+S4)&lt;&gt;0,(P6+Q6+R6+S6)/(P4+Q4+R4+S4),"")</f>
        <v>0.39159999999999995</v>
      </c>
    </row>
    <row r="54" spans="1:5" x14ac:dyDescent="0.3">
      <c r="A54" s="7" t="s">
        <v>64</v>
      </c>
      <c r="B54" s="19">
        <f>IF((D4+E4+F4+G4)&lt;&gt;0,(D11+E11+F11+G11)/(D4+E4+F4+G4),"")</f>
        <v>6.8932698844323584E-2</v>
      </c>
      <c r="C54" s="20">
        <f>IF((H4+I4+J4+K4)&lt;&gt;0,(H11+I11+J11+K11)/(H4+I4+J4+K4),"")</f>
        <v>0.37948665609268323</v>
      </c>
      <c r="D54" s="20">
        <f>IF((L4+M4+N4+O4)&lt;&gt;0,(L11+M11+N11+O11)/(L4+M4+N4+O4),"")</f>
        <v>0.27745199999999992</v>
      </c>
      <c r="E54" s="20">
        <f>IF((P4+Q4+R4+S4)&lt;&gt;0,(P11+Q11+R11+S11)/(P4+Q4+R4+S4),"")</f>
        <v>0.20359999999999992</v>
      </c>
    </row>
    <row r="55" spans="1:5" x14ac:dyDescent="0.3">
      <c r="A55" s="7" t="s">
        <v>65</v>
      </c>
      <c r="B55" s="19">
        <f>IF((D4+E4+F4+G4)&lt;&gt;0,(D15+E15+F15+G15)/(D4+E4+F4+G4),"")</f>
        <v>-0.22311352821210062</v>
      </c>
      <c r="C55" s="20">
        <f>IF((H4+I4+J4+K4)&lt;&gt;0,(H15+I15+J15+K15)/(H4+I4+J4+K4),"")</f>
        <v>0.30215982023860416</v>
      </c>
      <c r="D55" s="20">
        <f>IF((L4+M4+N4+O4)&lt;&gt;0,(L15+M15+N15+O15)/(L4+M4+N4+O4),"")</f>
        <v>0.21567026519999993</v>
      </c>
      <c r="E55" s="20">
        <f>IF((P4+Q4+R4+S4)&lt;&gt;0,(P15+Q15+R15+S15)/(P4+Q4+R4+S4),"")</f>
        <v>0.15067311999999994</v>
      </c>
    </row>
    <row r="56" spans="1:5" x14ac:dyDescent="0.3">
      <c r="A56" s="7" t="s">
        <v>66</v>
      </c>
      <c r="B56" s="19">
        <f>IF((D4+E4+F4+G4)&lt;&gt;0,(D24+E24+F24+G24)/(D4+E4+F4+G4),"")</f>
        <v>-1.6315431679129844E-2</v>
      </c>
      <c r="C56" s="20">
        <f>IF((H4+I4+J4+K4)&lt;&gt;0,(H24+I24+J24+K24)/(H4+I4+J4+K4),"")</f>
        <v>0.26014360388938695</v>
      </c>
      <c r="D56" s="20">
        <f>IF((L4+M4+N4+O4)&lt;&gt;0,(L24+M24+N24+O24)/(L4+M4+N4+O4),"")</f>
        <v>0.25680000000000003</v>
      </c>
      <c r="E56" s="20">
        <f>IF((P4+Q4+R4+S4)&lt;&gt;0,(P24+Q24+R24+S24)/(P4+Q4+R4+S4),"")</f>
        <v>0.25679999999999997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8"/>
  <sheetViews>
    <sheetView workbookViewId="0">
      <pane xSplit="1" topLeftCell="B1" activePane="topRight" state="frozen"/>
      <selection pane="topRight" activeCell="A2" sqref="A2"/>
    </sheetView>
  </sheetViews>
  <sheetFormatPr defaultRowHeight="14.4" x14ac:dyDescent="0.3"/>
  <cols>
    <col min="1" max="1" width="28" customWidth="1"/>
    <col min="2" max="19" width="14" customWidth="1"/>
    <col min="20" max="22" width="16" customWidth="1"/>
  </cols>
  <sheetData>
    <row r="1" spans="1:22" x14ac:dyDescent="0.3">
      <c r="A1" s="1" t="s">
        <v>67</v>
      </c>
    </row>
    <row r="2" spans="1:22" x14ac:dyDescent="0.3">
      <c r="A2" s="21" t="s">
        <v>379</v>
      </c>
    </row>
    <row r="3" spans="1:22" x14ac:dyDescent="0.3">
      <c r="B3" s="5" t="s">
        <v>4</v>
      </c>
      <c r="C3" s="5" t="s">
        <v>68</v>
      </c>
      <c r="D3" s="5" t="s">
        <v>6</v>
      </c>
      <c r="E3" s="5" t="s">
        <v>7</v>
      </c>
      <c r="F3" s="5" t="s">
        <v>8</v>
      </c>
      <c r="G3" s="5" t="s">
        <v>69</v>
      </c>
      <c r="H3" s="5" t="s">
        <v>10</v>
      </c>
      <c r="I3" s="5" t="s">
        <v>11</v>
      </c>
      <c r="J3" s="6" t="s">
        <v>12</v>
      </c>
      <c r="K3" s="6" t="s">
        <v>13</v>
      </c>
      <c r="L3" s="6" t="s">
        <v>14</v>
      </c>
      <c r="M3" s="6" t="s">
        <v>15</v>
      </c>
      <c r="N3" s="6" t="s">
        <v>16</v>
      </c>
      <c r="O3" s="6" t="s">
        <v>17</v>
      </c>
      <c r="P3" s="6" t="s">
        <v>18</v>
      </c>
      <c r="Q3" s="6" t="s">
        <v>19</v>
      </c>
      <c r="R3" s="6" t="s">
        <v>20</v>
      </c>
      <c r="S3" s="6" t="s">
        <v>21</v>
      </c>
      <c r="T3" s="22" t="s">
        <v>70</v>
      </c>
      <c r="U3" s="22" t="s">
        <v>71</v>
      </c>
      <c r="V3" s="22" t="s">
        <v>72</v>
      </c>
    </row>
    <row r="4" spans="1:22" x14ac:dyDescent="0.3">
      <c r="A4" s="7" t="s">
        <v>73</v>
      </c>
      <c r="B4" s="8">
        <v>97</v>
      </c>
      <c r="C4" s="8">
        <v>325</v>
      </c>
      <c r="D4" s="8">
        <v>259</v>
      </c>
      <c r="E4" s="8">
        <v>241</v>
      </c>
      <c r="F4" s="8">
        <v>197</v>
      </c>
      <c r="G4" s="8">
        <v>960</v>
      </c>
      <c r="H4" s="8">
        <v>369</v>
      </c>
      <c r="I4" s="8">
        <v>605</v>
      </c>
      <c r="J4" s="9">
        <v>1000</v>
      </c>
      <c r="K4" s="9">
        <v>1526</v>
      </c>
      <c r="L4" s="9">
        <v>1323</v>
      </c>
      <c r="M4" s="9">
        <v>1274</v>
      </c>
      <c r="N4" s="9">
        <v>1176</v>
      </c>
      <c r="O4" s="9">
        <v>1127</v>
      </c>
      <c r="P4" s="9">
        <v>1958</v>
      </c>
      <c r="Q4" s="9">
        <v>1885.5</v>
      </c>
      <c r="R4" s="9">
        <v>1740.5</v>
      </c>
      <c r="S4" s="9">
        <v>1668</v>
      </c>
      <c r="T4" s="23">
        <f>H4+I4+J4+K4</f>
        <v>3500</v>
      </c>
      <c r="U4" s="23">
        <f>L4+M4+N4+O4</f>
        <v>4900</v>
      </c>
      <c r="V4" s="23">
        <f>P4+Q4+R4+S4</f>
        <v>7252</v>
      </c>
    </row>
    <row r="5" spans="1:22" x14ac:dyDescent="0.3">
      <c r="A5" s="7" t="s">
        <v>74</v>
      </c>
      <c r="B5" s="8">
        <v>1035</v>
      </c>
      <c r="C5" s="8">
        <v>4069</v>
      </c>
      <c r="D5" s="8">
        <v>1110</v>
      </c>
      <c r="E5" s="8">
        <v>1037</v>
      </c>
      <c r="F5" s="8">
        <v>927</v>
      </c>
      <c r="G5" s="8">
        <v>4127</v>
      </c>
      <c r="H5" s="8">
        <v>1246</v>
      </c>
      <c r="I5" s="8">
        <v>1573</v>
      </c>
      <c r="J5" s="9">
        <v>2300</v>
      </c>
      <c r="K5" s="9">
        <v>2081</v>
      </c>
      <c r="L5" s="9">
        <v>2025</v>
      </c>
      <c r="M5" s="9">
        <v>1950</v>
      </c>
      <c r="N5" s="9">
        <v>1800</v>
      </c>
      <c r="O5" s="9">
        <v>1725</v>
      </c>
      <c r="P5" s="9">
        <v>2126.1999999999998</v>
      </c>
      <c r="Q5" s="9">
        <v>2047.5</v>
      </c>
      <c r="R5" s="9">
        <v>1890</v>
      </c>
      <c r="S5" s="9">
        <v>1811.2</v>
      </c>
      <c r="T5" s="23">
        <f>H5+I5+J5+K5</f>
        <v>7200</v>
      </c>
      <c r="U5" s="23">
        <f>L5+M5+N5+O5</f>
        <v>7500</v>
      </c>
      <c r="V5" s="23">
        <f>P5+Q5+R5+S5</f>
        <v>7874.9</v>
      </c>
    </row>
    <row r="6" spans="1:22" x14ac:dyDescent="0.3">
      <c r="A6" s="7" t="s">
        <v>75</v>
      </c>
      <c r="B6" s="8">
        <v>573</v>
      </c>
      <c r="C6" s="8">
        <v>2269</v>
      </c>
      <c r="D6" s="8">
        <v>514</v>
      </c>
      <c r="E6" s="8">
        <v>598</v>
      </c>
      <c r="F6" s="8">
        <v>571</v>
      </c>
      <c r="G6" s="8">
        <v>2268</v>
      </c>
      <c r="H6" s="8">
        <v>652</v>
      </c>
      <c r="I6" s="8">
        <v>907</v>
      </c>
      <c r="J6" s="9">
        <v>1300</v>
      </c>
      <c r="K6" s="9">
        <v>961</v>
      </c>
      <c r="L6" s="9">
        <v>1053</v>
      </c>
      <c r="M6" s="9">
        <v>1014</v>
      </c>
      <c r="N6" s="9">
        <v>936</v>
      </c>
      <c r="O6" s="9">
        <v>897</v>
      </c>
      <c r="P6" s="9">
        <v>1070.5999999999999</v>
      </c>
      <c r="Q6" s="9">
        <v>1031</v>
      </c>
      <c r="R6" s="9">
        <v>951.7</v>
      </c>
      <c r="S6" s="9">
        <v>912</v>
      </c>
      <c r="T6" s="23">
        <f>H6+I6+J6+K6</f>
        <v>3820</v>
      </c>
      <c r="U6" s="23">
        <f>L6+M6+N6+O6</f>
        <v>3900</v>
      </c>
      <c r="V6" s="23">
        <f>P6+Q6+R6+S6</f>
        <v>3965.3</v>
      </c>
    </row>
    <row r="7" spans="1:22" x14ac:dyDescent="0.3">
      <c r="T7" s="23">
        <f>H7+I7+J7+K7</f>
        <v>0</v>
      </c>
      <c r="U7" s="23">
        <f>L7+M7+N7+O7</f>
        <v>0</v>
      </c>
      <c r="V7" s="23">
        <f>P7+Q7+R7+S7</f>
        <v>0</v>
      </c>
    </row>
    <row r="8" spans="1:22" x14ac:dyDescent="0.3">
      <c r="A8" s="24" t="s">
        <v>76</v>
      </c>
      <c r="B8" s="25">
        <f t="shared" ref="B8:S8" si="0">B4+B5+B6</f>
        <v>1705</v>
      </c>
      <c r="C8" s="25">
        <f t="shared" si="0"/>
        <v>6663</v>
      </c>
      <c r="D8" s="25">
        <f t="shared" si="0"/>
        <v>1883</v>
      </c>
      <c r="E8" s="25">
        <f t="shared" si="0"/>
        <v>1876</v>
      </c>
      <c r="F8" s="25">
        <f t="shared" si="0"/>
        <v>1695</v>
      </c>
      <c r="G8" s="25">
        <f t="shared" si="0"/>
        <v>7355</v>
      </c>
      <c r="H8" s="25">
        <f t="shared" si="0"/>
        <v>2267</v>
      </c>
      <c r="I8" s="25">
        <f t="shared" si="0"/>
        <v>3085</v>
      </c>
      <c r="J8" s="25">
        <f t="shared" si="0"/>
        <v>4600</v>
      </c>
      <c r="K8" s="25">
        <f t="shared" si="0"/>
        <v>4568</v>
      </c>
      <c r="L8" s="25">
        <f t="shared" si="0"/>
        <v>4401</v>
      </c>
      <c r="M8" s="25">
        <f t="shared" si="0"/>
        <v>4238</v>
      </c>
      <c r="N8" s="25">
        <f t="shared" si="0"/>
        <v>3912</v>
      </c>
      <c r="O8" s="25">
        <f t="shared" si="0"/>
        <v>3749</v>
      </c>
      <c r="P8" s="25">
        <f t="shared" si="0"/>
        <v>5154.7999999999993</v>
      </c>
      <c r="Q8" s="25">
        <f t="shared" si="0"/>
        <v>4964</v>
      </c>
      <c r="R8" s="25">
        <f t="shared" si="0"/>
        <v>4582.2</v>
      </c>
      <c r="S8" s="25">
        <f t="shared" si="0"/>
        <v>4391.2</v>
      </c>
      <c r="T8" s="26">
        <f>H8+I8+J8+K8</f>
        <v>14520</v>
      </c>
      <c r="U8" s="26">
        <f>L8+M8+N8+O8</f>
        <v>16300</v>
      </c>
      <c r="V8" s="26">
        <f>P8+Q8+R8+S8</f>
        <v>19092.2</v>
      </c>
    </row>
    <row r="10" spans="1:22" x14ac:dyDescent="0.3">
      <c r="A10" s="27" t="s">
        <v>77</v>
      </c>
    </row>
    <row r="11" spans="1:22" x14ac:dyDescent="0.3">
      <c r="A11" s="28" t="s">
        <v>78</v>
      </c>
    </row>
    <row r="12" spans="1:22" x14ac:dyDescent="0.3">
      <c r="A12" s="28" t="s">
        <v>79</v>
      </c>
    </row>
    <row r="13" spans="1:22" x14ac:dyDescent="0.3">
      <c r="A13" s="28" t="s">
        <v>80</v>
      </c>
    </row>
    <row r="14" spans="1:22" x14ac:dyDescent="0.3">
      <c r="A14" s="28" t="s">
        <v>81</v>
      </c>
    </row>
    <row r="15" spans="1:22" x14ac:dyDescent="0.3">
      <c r="A15" s="28" t="s">
        <v>82</v>
      </c>
    </row>
    <row r="16" spans="1:22" x14ac:dyDescent="0.3">
      <c r="A16" s="28"/>
    </row>
    <row r="17" spans="1:1" x14ac:dyDescent="0.3">
      <c r="A17" s="28"/>
    </row>
    <row r="18" spans="1:1" x14ac:dyDescent="0.3">
      <c r="A18" s="2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workbookViewId="0">
      <selection activeCell="A11" sqref="A11"/>
    </sheetView>
  </sheetViews>
  <sheetFormatPr defaultRowHeight="14.4" x14ac:dyDescent="0.3"/>
  <cols>
    <col min="1" max="1" width="30" customWidth="1"/>
    <col min="2" max="10" width="14" customWidth="1"/>
  </cols>
  <sheetData>
    <row r="1" spans="1:10" ht="17.399999999999999" x14ac:dyDescent="0.35">
      <c r="A1" s="29" t="s">
        <v>83</v>
      </c>
    </row>
    <row r="2" spans="1:10" x14ac:dyDescent="0.3">
      <c r="A2" s="30" t="s">
        <v>84</v>
      </c>
    </row>
    <row r="4" spans="1:10" x14ac:dyDescent="0.3">
      <c r="A4" s="24" t="s">
        <v>85</v>
      </c>
      <c r="B4" s="31"/>
      <c r="C4" s="31"/>
      <c r="D4" s="31"/>
      <c r="E4" s="31"/>
      <c r="F4" s="31"/>
      <c r="G4" s="31"/>
      <c r="H4" s="31"/>
      <c r="I4" s="31"/>
      <c r="J4" s="31"/>
    </row>
    <row r="5" spans="1:10" x14ac:dyDescent="0.3">
      <c r="A5" s="7" t="s">
        <v>86</v>
      </c>
      <c r="B5" s="32" t="s">
        <v>87</v>
      </c>
      <c r="C5" s="33" t="s">
        <v>88</v>
      </c>
      <c r="D5" s="34" t="s">
        <v>89</v>
      </c>
      <c r="E5" s="32" t="s">
        <v>90</v>
      </c>
      <c r="F5" s="33" t="s">
        <v>91</v>
      </c>
      <c r="G5" s="34" t="s">
        <v>92</v>
      </c>
      <c r="H5" s="32" t="s">
        <v>93</v>
      </c>
      <c r="I5" s="33" t="s">
        <v>94</v>
      </c>
      <c r="J5" s="34" t="s">
        <v>95</v>
      </c>
    </row>
    <row r="6" spans="1:10" x14ac:dyDescent="0.3">
      <c r="A6" s="35" t="s">
        <v>73</v>
      </c>
      <c r="B6" s="36">
        <v>3400</v>
      </c>
      <c r="C6" s="36">
        <v>3500</v>
      </c>
      <c r="D6" s="36">
        <v>3700</v>
      </c>
      <c r="E6" s="36">
        <v>2500</v>
      </c>
      <c r="F6" s="36">
        <v>4900</v>
      </c>
      <c r="G6" s="36">
        <v>6500</v>
      </c>
      <c r="H6" s="36">
        <v>1800</v>
      </c>
      <c r="I6" s="36">
        <v>6600</v>
      </c>
      <c r="J6" s="36">
        <v>9500</v>
      </c>
    </row>
    <row r="7" spans="1:10" x14ac:dyDescent="0.3">
      <c r="A7" s="35" t="s">
        <v>74</v>
      </c>
      <c r="B7" s="36">
        <v>7000</v>
      </c>
      <c r="C7" s="36">
        <v>7200</v>
      </c>
      <c r="D7" s="36">
        <v>7400</v>
      </c>
      <c r="E7" s="36">
        <v>6800</v>
      </c>
      <c r="F7" s="36">
        <v>7500</v>
      </c>
      <c r="G7" s="36">
        <v>8500</v>
      </c>
      <c r="H7" s="36">
        <v>6500</v>
      </c>
      <c r="I7" s="36">
        <v>7800</v>
      </c>
      <c r="J7" s="36">
        <v>9500</v>
      </c>
    </row>
    <row r="8" spans="1:10" x14ac:dyDescent="0.3">
      <c r="A8" s="35" t="s">
        <v>75</v>
      </c>
      <c r="B8" s="36">
        <v>3700</v>
      </c>
      <c r="C8" s="36">
        <v>3800</v>
      </c>
      <c r="D8" s="36">
        <v>3900</v>
      </c>
      <c r="E8" s="36">
        <v>3500</v>
      </c>
      <c r="F8" s="36">
        <v>3900</v>
      </c>
      <c r="G8" s="36">
        <v>4300</v>
      </c>
      <c r="H8" s="36">
        <v>3300</v>
      </c>
      <c r="I8" s="36">
        <v>4000</v>
      </c>
      <c r="J8" s="36">
        <v>4600</v>
      </c>
    </row>
    <row r="10" spans="1:10" x14ac:dyDescent="0.3">
      <c r="A10" s="37" t="s">
        <v>96</v>
      </c>
      <c r="B10" s="38">
        <f t="shared" ref="B10:J10" si="0">B6+B7+B8</f>
        <v>14100</v>
      </c>
      <c r="C10" s="38">
        <f t="shared" si="0"/>
        <v>14500</v>
      </c>
      <c r="D10" s="38">
        <f t="shared" si="0"/>
        <v>15000</v>
      </c>
      <c r="E10" s="38">
        <f t="shared" si="0"/>
        <v>12800</v>
      </c>
      <c r="F10" s="38">
        <f t="shared" si="0"/>
        <v>16300</v>
      </c>
      <c r="G10" s="38">
        <f t="shared" si="0"/>
        <v>19300</v>
      </c>
      <c r="H10" s="38">
        <f t="shared" si="0"/>
        <v>11600</v>
      </c>
      <c r="I10" s="38">
        <f t="shared" si="0"/>
        <v>18400</v>
      </c>
      <c r="J10" s="38">
        <f t="shared" si="0"/>
        <v>23600</v>
      </c>
    </row>
    <row r="12" spans="1:10" x14ac:dyDescent="0.3">
      <c r="A12" s="39" t="s">
        <v>97</v>
      </c>
      <c r="B12" s="40"/>
      <c r="C12" s="40"/>
      <c r="D12" s="40"/>
      <c r="E12" s="40"/>
      <c r="F12" s="40"/>
      <c r="G12" s="40"/>
      <c r="H12" s="40"/>
      <c r="I12" s="40"/>
      <c r="J12" s="40"/>
    </row>
    <row r="13" spans="1:10" x14ac:dyDescent="0.3">
      <c r="A13" s="35" t="s">
        <v>98</v>
      </c>
      <c r="B13" s="99" t="s">
        <v>99</v>
      </c>
      <c r="C13" s="100"/>
      <c r="D13" s="100"/>
      <c r="E13" s="100"/>
      <c r="F13" s="100"/>
      <c r="G13" s="100"/>
      <c r="H13" s="100"/>
      <c r="I13" s="100"/>
      <c r="J13" s="100"/>
    </row>
    <row r="14" spans="1:10" x14ac:dyDescent="0.3">
      <c r="A14" s="35" t="s">
        <v>100</v>
      </c>
      <c r="B14" s="99" t="s">
        <v>101</v>
      </c>
      <c r="C14" s="100"/>
      <c r="D14" s="100"/>
      <c r="E14" s="100"/>
      <c r="F14" s="100"/>
      <c r="G14" s="100"/>
      <c r="H14" s="100"/>
      <c r="I14" s="100"/>
      <c r="J14" s="100"/>
    </row>
    <row r="16" spans="1:10" x14ac:dyDescent="0.3">
      <c r="A16" s="30" t="s">
        <v>77</v>
      </c>
    </row>
    <row r="17" spans="1:1" x14ac:dyDescent="0.3">
      <c r="A17" s="30" t="s">
        <v>102</v>
      </c>
    </row>
    <row r="18" spans="1:1" x14ac:dyDescent="0.3">
      <c r="A18" s="30" t="s">
        <v>103</v>
      </c>
    </row>
    <row r="19" spans="1:1" x14ac:dyDescent="0.3">
      <c r="A19" s="30"/>
    </row>
    <row r="20" spans="1:1" x14ac:dyDescent="0.3">
      <c r="A20" s="30"/>
    </row>
  </sheetData>
  <mergeCells count="2">
    <mergeCell ref="B13:J13"/>
    <mergeCell ref="B14:J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7"/>
  <sheetViews>
    <sheetView tabSelected="1" topLeftCell="A47" workbookViewId="0">
      <selection activeCell="A13" sqref="A13"/>
    </sheetView>
  </sheetViews>
  <sheetFormatPr defaultRowHeight="14.4" x14ac:dyDescent="0.3"/>
  <cols>
    <col min="1" max="1" width="29.21875" bestFit="1" customWidth="1"/>
    <col min="2" max="2" width="16" customWidth="1"/>
    <col min="3" max="10" width="14" customWidth="1"/>
  </cols>
  <sheetData>
    <row r="1" spans="1:2" ht="17.399999999999999" x14ac:dyDescent="0.35">
      <c r="A1" s="29" t="s">
        <v>104</v>
      </c>
    </row>
    <row r="3" spans="1:2" x14ac:dyDescent="0.3">
      <c r="A3" s="1" t="s">
        <v>105</v>
      </c>
    </row>
    <row r="4" spans="1:2" x14ac:dyDescent="0.3">
      <c r="A4" t="s">
        <v>106</v>
      </c>
      <c r="B4" s="41">
        <v>0.1031109519353826</v>
      </c>
    </row>
    <row r="5" spans="1:2" x14ac:dyDescent="0.3">
      <c r="A5" t="s">
        <v>107</v>
      </c>
      <c r="B5" s="41">
        <v>0.03</v>
      </c>
    </row>
    <row r="6" spans="1:2" x14ac:dyDescent="0.3">
      <c r="A6" t="s">
        <v>108</v>
      </c>
      <c r="B6" s="41">
        <v>0.21</v>
      </c>
    </row>
    <row r="7" spans="1:2" x14ac:dyDescent="0.3">
      <c r="A7" t="s">
        <v>109</v>
      </c>
      <c r="B7" s="41">
        <v>0.22</v>
      </c>
    </row>
    <row r="8" spans="1:2" x14ac:dyDescent="0.3">
      <c r="A8" t="s">
        <v>110</v>
      </c>
      <c r="B8" s="41">
        <v>0.1</v>
      </c>
    </row>
    <row r="9" spans="1:2" x14ac:dyDescent="0.3">
      <c r="A9" t="s">
        <v>111</v>
      </c>
      <c r="B9" s="41">
        <v>7.5000000000000011E-2</v>
      </c>
    </row>
    <row r="10" spans="1:2" x14ac:dyDescent="0.3">
      <c r="A10" t="s">
        <v>112</v>
      </c>
      <c r="B10" s="41">
        <v>0.1</v>
      </c>
    </row>
    <row r="11" spans="1:2" x14ac:dyDescent="0.3">
      <c r="A11" t="s">
        <v>113</v>
      </c>
      <c r="B11" s="41">
        <v>0.13472953298241691</v>
      </c>
    </row>
    <row r="12" spans="1:2" x14ac:dyDescent="0.3">
      <c r="A12" t="s">
        <v>114</v>
      </c>
      <c r="B12" s="41">
        <v>2.2846903348639268E-2</v>
      </c>
    </row>
    <row r="13" spans="1:2" x14ac:dyDescent="0.3">
      <c r="A13" t="s">
        <v>115</v>
      </c>
      <c r="B13" s="41">
        <v>1.4322712620668851E-3</v>
      </c>
    </row>
    <row r="15" spans="1:2" x14ac:dyDescent="0.3">
      <c r="A15" s="1" t="s">
        <v>116</v>
      </c>
    </row>
    <row r="16" spans="1:2" x14ac:dyDescent="0.3">
      <c r="A16" s="42" t="s">
        <v>117</v>
      </c>
      <c r="B16" s="43">
        <v>4.2500000000000003E-2</v>
      </c>
    </row>
    <row r="17" spans="1:2" x14ac:dyDescent="0.3">
      <c r="A17" s="42" t="s">
        <v>118</v>
      </c>
      <c r="B17" s="43">
        <v>4.6699999999999998E-2</v>
      </c>
    </row>
    <row r="18" spans="1:2" x14ac:dyDescent="0.3">
      <c r="A18" s="42" t="s">
        <v>119</v>
      </c>
      <c r="B18" s="44">
        <v>2.7281</v>
      </c>
    </row>
    <row r="19" spans="1:2" x14ac:dyDescent="0.3">
      <c r="A19" s="42" t="s">
        <v>120</v>
      </c>
      <c r="B19" s="44">
        <v>2.1520666666666668</v>
      </c>
    </row>
    <row r="20" spans="1:2" x14ac:dyDescent="0.3">
      <c r="A20" s="42" t="s">
        <v>121</v>
      </c>
      <c r="B20" s="44">
        <v>1.7920188519690821</v>
      </c>
    </row>
    <row r="21" spans="1:2" x14ac:dyDescent="0.3">
      <c r="A21" s="42" t="s">
        <v>122</v>
      </c>
      <c r="B21" s="44">
        <v>1.3</v>
      </c>
    </row>
    <row r="22" spans="1:2" x14ac:dyDescent="0.3">
      <c r="A22" s="42" t="s">
        <v>123</v>
      </c>
      <c r="B22" s="43">
        <v>0.10321</v>
      </c>
    </row>
    <row r="23" spans="1:2" x14ac:dyDescent="0.3">
      <c r="A23" s="42" t="s">
        <v>124</v>
      </c>
      <c r="B23" s="43">
        <v>0.10249999999999999</v>
      </c>
    </row>
    <row r="24" spans="1:2" x14ac:dyDescent="0.3">
      <c r="A24" s="42" t="s">
        <v>125</v>
      </c>
      <c r="B24" s="43">
        <v>8.0975000000000005E-2</v>
      </c>
    </row>
    <row r="25" spans="1:2" x14ac:dyDescent="0.3">
      <c r="A25" s="42" t="s">
        <v>126</v>
      </c>
      <c r="B25" s="43">
        <v>0.99554539848808832</v>
      </c>
    </row>
    <row r="26" spans="1:2" x14ac:dyDescent="0.3">
      <c r="A26" s="42" t="s">
        <v>127</v>
      </c>
      <c r="B26" s="43">
        <v>4.4546015119117169E-3</v>
      </c>
    </row>
    <row r="27" spans="1:2" x14ac:dyDescent="0.3">
      <c r="A27" s="42" t="s">
        <v>128</v>
      </c>
      <c r="B27" s="43">
        <v>0.1031109519353826</v>
      </c>
    </row>
    <row r="28" spans="1:2" x14ac:dyDescent="0.3">
      <c r="A28" s="42" t="s">
        <v>129</v>
      </c>
      <c r="B28" s="42" t="s">
        <v>380</v>
      </c>
    </row>
    <row r="29" spans="1:2" x14ac:dyDescent="0.3">
      <c r="A29" s="42" t="s">
        <v>130</v>
      </c>
      <c r="B29" s="42" t="s">
        <v>131</v>
      </c>
    </row>
    <row r="31" spans="1:2" x14ac:dyDescent="0.3">
      <c r="A31" s="1" t="s">
        <v>132</v>
      </c>
    </row>
    <row r="32" spans="1:2" x14ac:dyDescent="0.3">
      <c r="A32" t="s">
        <v>133</v>
      </c>
      <c r="B32" s="41">
        <v>0.62619999999999998</v>
      </c>
    </row>
    <row r="33" spans="1:2" x14ac:dyDescent="0.3">
      <c r="A33" t="s">
        <v>134</v>
      </c>
      <c r="B33" s="41">
        <v>0.1226</v>
      </c>
    </row>
    <row r="34" spans="1:2" x14ac:dyDescent="0.3">
      <c r="A34" t="s">
        <v>135</v>
      </c>
      <c r="B34" s="41">
        <v>0.17130000000000001</v>
      </c>
    </row>
    <row r="35" spans="1:2" x14ac:dyDescent="0.3">
      <c r="A35" t="s">
        <v>136</v>
      </c>
      <c r="B35" s="41">
        <v>0.15</v>
      </c>
    </row>
    <row r="36" spans="1:2" x14ac:dyDescent="0.3">
      <c r="A36" t="s">
        <v>137</v>
      </c>
      <c r="B36" s="41">
        <v>0.1</v>
      </c>
    </row>
    <row r="37" spans="1:2" x14ac:dyDescent="0.3">
      <c r="A37" t="s">
        <v>138</v>
      </c>
      <c r="B37" s="41">
        <v>0.06</v>
      </c>
    </row>
    <row r="38" spans="1:2" x14ac:dyDescent="0.3">
      <c r="A38" t="s">
        <v>139</v>
      </c>
      <c r="B38" s="41">
        <v>0.04</v>
      </c>
    </row>
    <row r="40" spans="1:2" x14ac:dyDescent="0.3">
      <c r="A40" s="1" t="s">
        <v>140</v>
      </c>
    </row>
    <row r="41" spans="1:2" x14ac:dyDescent="0.3">
      <c r="A41" t="s">
        <v>23</v>
      </c>
      <c r="B41" s="45">
        <v>8929</v>
      </c>
    </row>
    <row r="42" spans="1:2" x14ac:dyDescent="0.3">
      <c r="A42" t="s">
        <v>31</v>
      </c>
      <c r="B42" s="45">
        <v>-622</v>
      </c>
    </row>
    <row r="43" spans="1:2" x14ac:dyDescent="0.3">
      <c r="A43" t="s">
        <v>35</v>
      </c>
      <c r="B43" s="45">
        <v>-1041</v>
      </c>
    </row>
    <row r="44" spans="1:2" x14ac:dyDescent="0.3">
      <c r="A44" t="s">
        <v>141</v>
      </c>
      <c r="B44" s="45">
        <v>204</v>
      </c>
    </row>
    <row r="45" spans="1:2" x14ac:dyDescent="0.3">
      <c r="A45" t="s">
        <v>142</v>
      </c>
      <c r="B45" s="45">
        <v>0</v>
      </c>
    </row>
    <row r="46" spans="1:2" x14ac:dyDescent="0.3">
      <c r="A46" t="s">
        <v>40</v>
      </c>
      <c r="B46" s="45">
        <v>1627</v>
      </c>
    </row>
    <row r="47" spans="1:2" x14ac:dyDescent="0.3">
      <c r="A47" t="s">
        <v>143</v>
      </c>
      <c r="B47" s="45">
        <v>178</v>
      </c>
    </row>
    <row r="48" spans="1:2" x14ac:dyDescent="0.3">
      <c r="A48" t="s">
        <v>44</v>
      </c>
      <c r="B48" s="45">
        <v>1539</v>
      </c>
    </row>
    <row r="49" spans="1:9" x14ac:dyDescent="0.3">
      <c r="A49" t="s">
        <v>54</v>
      </c>
      <c r="B49" s="45">
        <v>603</v>
      </c>
    </row>
    <row r="50" spans="1:9" x14ac:dyDescent="0.3">
      <c r="A50" t="s">
        <v>144</v>
      </c>
      <c r="B50" s="45">
        <v>156000000</v>
      </c>
    </row>
    <row r="52" spans="1:9" x14ac:dyDescent="0.3">
      <c r="A52" s="1" t="s">
        <v>145</v>
      </c>
    </row>
    <row r="53" spans="1:9" x14ac:dyDescent="0.3">
      <c r="A53" s="1"/>
      <c r="B53" s="1" t="s">
        <v>146</v>
      </c>
      <c r="C53" s="1" t="s">
        <v>147</v>
      </c>
      <c r="D53" s="1" t="s">
        <v>148</v>
      </c>
      <c r="E53" s="1" t="s">
        <v>149</v>
      </c>
      <c r="F53" s="1" t="s">
        <v>150</v>
      </c>
      <c r="G53" s="1" t="s">
        <v>151</v>
      </c>
      <c r="H53" s="1" t="s">
        <v>152</v>
      </c>
      <c r="I53" s="1" t="s">
        <v>153</v>
      </c>
    </row>
    <row r="54" spans="1:9" x14ac:dyDescent="0.3">
      <c r="A54" t="s">
        <v>63</v>
      </c>
      <c r="C54" s="43">
        <f>$B$32</f>
        <v>0.62619999999999998</v>
      </c>
      <c r="D54" s="43">
        <f>$B$33</f>
        <v>0.1226</v>
      </c>
      <c r="E54" s="43">
        <f>$B$34</f>
        <v>0.17130000000000001</v>
      </c>
      <c r="F54" s="43">
        <f>$B$35</f>
        <v>0.15</v>
      </c>
      <c r="G54" s="43">
        <f>$B$36</f>
        <v>0.1</v>
      </c>
      <c r="H54" s="43">
        <f>$B$37</f>
        <v>0.06</v>
      </c>
      <c r="I54" s="43">
        <f>$B$38</f>
        <v>0.04</v>
      </c>
    </row>
    <row r="55" spans="1:9" x14ac:dyDescent="0.3">
      <c r="A55" t="s">
        <v>23</v>
      </c>
      <c r="B55" s="45">
        <v>8929</v>
      </c>
      <c r="C55" s="45">
        <f t="shared" ref="C55:I55" si="0">B55*(1+C54)</f>
        <v>14520.339799999998</v>
      </c>
      <c r="D55" s="45">
        <f t="shared" si="0"/>
        <v>16300.533459479999</v>
      </c>
      <c r="E55" s="45">
        <f t="shared" si="0"/>
        <v>19092.814841088923</v>
      </c>
      <c r="F55" s="45">
        <f t="shared" si="0"/>
        <v>21956.737067252259</v>
      </c>
      <c r="G55" s="45">
        <f t="shared" si="0"/>
        <v>24152.410773977488</v>
      </c>
      <c r="H55" s="45">
        <f t="shared" si="0"/>
        <v>25601.555420416138</v>
      </c>
      <c r="I55" s="45">
        <f t="shared" si="0"/>
        <v>26625.617637232783</v>
      </c>
    </row>
    <row r="56" spans="1:9" x14ac:dyDescent="0.3">
      <c r="A56" t="s">
        <v>64</v>
      </c>
      <c r="B56" s="43">
        <v>-6.9660656288498157E-2</v>
      </c>
      <c r="C56" s="41">
        <v>0.22</v>
      </c>
      <c r="D56" s="41">
        <v>0.22</v>
      </c>
      <c r="E56" s="41">
        <v>0.22</v>
      </c>
      <c r="F56" s="41">
        <v>0.22</v>
      </c>
      <c r="G56" s="41">
        <v>0.22</v>
      </c>
      <c r="H56" s="41">
        <v>0.22</v>
      </c>
      <c r="I56" s="41">
        <v>0.22</v>
      </c>
    </row>
    <row r="57" spans="1:9" x14ac:dyDescent="0.3">
      <c r="A57" t="s">
        <v>31</v>
      </c>
      <c r="B57" s="45">
        <v>-622</v>
      </c>
      <c r="C57" s="45">
        <f t="shared" ref="C57:I57" si="1">C55*C56</f>
        <v>3194.4747559999996</v>
      </c>
      <c r="D57" s="45">
        <f t="shared" si="1"/>
        <v>3586.1173610855999</v>
      </c>
      <c r="E57" s="45">
        <f t="shared" si="1"/>
        <v>4200.4192650395626</v>
      </c>
      <c r="F57" s="45">
        <f t="shared" si="1"/>
        <v>4830.4821547954971</v>
      </c>
      <c r="G57" s="45">
        <f t="shared" si="1"/>
        <v>5313.5303702750471</v>
      </c>
      <c r="H57" s="45">
        <f t="shared" si="1"/>
        <v>5632.3421924915501</v>
      </c>
      <c r="I57" s="45">
        <f t="shared" si="1"/>
        <v>5857.635880191212</v>
      </c>
    </row>
    <row r="58" spans="1:9" x14ac:dyDescent="0.3">
      <c r="A58" t="s">
        <v>154</v>
      </c>
      <c r="C58" s="45">
        <f t="shared" ref="C58:I58" si="2">C57*(1-$B$6)</f>
        <v>2523.6350572399997</v>
      </c>
      <c r="D58" s="45">
        <f t="shared" si="2"/>
        <v>2833.0327152576242</v>
      </c>
      <c r="E58" s="45">
        <f t="shared" si="2"/>
        <v>3318.3312193812544</v>
      </c>
      <c r="F58" s="45">
        <f t="shared" si="2"/>
        <v>3816.0809022884428</v>
      </c>
      <c r="G58" s="45">
        <f t="shared" si="2"/>
        <v>4197.6889925172873</v>
      </c>
      <c r="H58" s="45">
        <f t="shared" si="2"/>
        <v>4449.5503320683247</v>
      </c>
      <c r="I58" s="45">
        <f t="shared" si="2"/>
        <v>4627.5323453510573</v>
      </c>
    </row>
    <row r="59" spans="1:9" x14ac:dyDescent="0.3">
      <c r="A59" t="s">
        <v>155</v>
      </c>
      <c r="C59" s="45">
        <f t="shared" ref="C59:I59" si="3">C55*$B$10</f>
        <v>1452.0339799999999</v>
      </c>
      <c r="D59" s="45">
        <f t="shared" si="3"/>
        <v>1630.053345948</v>
      </c>
      <c r="E59" s="45">
        <f t="shared" si="3"/>
        <v>1909.2814841088923</v>
      </c>
      <c r="F59" s="45">
        <f t="shared" si="3"/>
        <v>2195.6737067252261</v>
      </c>
      <c r="G59" s="45">
        <f t="shared" si="3"/>
        <v>2415.241077397749</v>
      </c>
      <c r="H59" s="45">
        <f t="shared" si="3"/>
        <v>2560.1555420416139</v>
      </c>
      <c r="I59" s="45">
        <f t="shared" si="3"/>
        <v>2662.5617637232785</v>
      </c>
    </row>
    <row r="60" spans="1:9" x14ac:dyDescent="0.3">
      <c r="A60" t="s">
        <v>143</v>
      </c>
      <c r="C60" s="45">
        <f t="shared" ref="C60:I60" si="4">C55*C61</f>
        <v>1452.0339799999999</v>
      </c>
      <c r="D60" s="45">
        <f t="shared" si="4"/>
        <v>1561.5911054181838</v>
      </c>
      <c r="E60" s="45">
        <f t="shared" si="4"/>
        <v>1750.8111209278543</v>
      </c>
      <c r="F60" s="45">
        <f t="shared" si="4"/>
        <v>1921.2144933845725</v>
      </c>
      <c r="G60" s="45">
        <f t="shared" si="4"/>
        <v>2011.8958174723248</v>
      </c>
      <c r="H60" s="45">
        <f t="shared" si="4"/>
        <v>2027.6431892969583</v>
      </c>
      <c r="I60" s="45">
        <f t="shared" si="4"/>
        <v>1996.9213227924586</v>
      </c>
    </row>
    <row r="61" spans="1:9" x14ac:dyDescent="0.3">
      <c r="A61" t="s">
        <v>156</v>
      </c>
      <c r="C61" s="41">
        <v>0.1</v>
      </c>
      <c r="D61" s="41">
        <v>9.5799999999999996E-2</v>
      </c>
      <c r="E61" s="41">
        <v>9.1700000000000004E-2</v>
      </c>
      <c r="F61" s="41">
        <v>8.7499999999999994E-2</v>
      </c>
      <c r="G61" s="41">
        <v>8.3299999999999999E-2</v>
      </c>
      <c r="H61" s="41">
        <v>7.9200000000000007E-2</v>
      </c>
      <c r="I61" s="41">
        <v>7.4999999999999997E-2</v>
      </c>
    </row>
    <row r="62" spans="1:9" x14ac:dyDescent="0.3">
      <c r="A62" t="s">
        <v>157</v>
      </c>
      <c r="C62" s="45">
        <f t="shared" ref="C62:I62" si="5">$B$11*(C55-B55)</f>
        <v>753.31860000000006</v>
      </c>
      <c r="D62" s="45">
        <f t="shared" si="5"/>
        <v>239.84466036000023</v>
      </c>
      <c r="E62" s="45">
        <f t="shared" si="5"/>
        <v>376.20276649966814</v>
      </c>
      <c r="F62" s="45">
        <f t="shared" si="5"/>
        <v>385.85490402895016</v>
      </c>
      <c r="G62" s="45">
        <f t="shared" si="5"/>
        <v>295.82209308886229</v>
      </c>
      <c r="H62" s="45">
        <f t="shared" si="5"/>
        <v>195.24258143864898</v>
      </c>
      <c r="I62" s="45">
        <f t="shared" si="5"/>
        <v>137.97142421664509</v>
      </c>
    </row>
    <row r="63" spans="1:9" x14ac:dyDescent="0.3">
      <c r="A63" t="s">
        <v>141</v>
      </c>
      <c r="C63" s="45">
        <f t="shared" ref="C63:I63" si="6">C55*$B$12</f>
        <v>331.7448</v>
      </c>
      <c r="D63" s="45">
        <f t="shared" si="6"/>
        <v>372.41671248</v>
      </c>
      <c r="E63" s="45">
        <f t="shared" si="6"/>
        <v>436.21169532782403</v>
      </c>
      <c r="F63" s="45">
        <f t="shared" si="6"/>
        <v>501.64344962699761</v>
      </c>
      <c r="G63" s="45">
        <f t="shared" si="6"/>
        <v>551.80779458969744</v>
      </c>
      <c r="H63" s="45">
        <f t="shared" si="6"/>
        <v>584.91626226507924</v>
      </c>
      <c r="I63" s="45">
        <f t="shared" si="6"/>
        <v>608.31291275568242</v>
      </c>
    </row>
    <row r="64" spans="1:9" x14ac:dyDescent="0.3">
      <c r="A64" t="s">
        <v>158</v>
      </c>
      <c r="C64" s="45">
        <f t="shared" ref="C64:I64" si="7">C58+C59-C60-C62-C63</f>
        <v>1438.5716572399997</v>
      </c>
      <c r="D64" s="45">
        <f t="shared" si="7"/>
        <v>2289.23358294744</v>
      </c>
      <c r="E64" s="45">
        <f t="shared" si="7"/>
        <v>2664.3871207348002</v>
      </c>
      <c r="F64" s="45">
        <f t="shared" si="7"/>
        <v>3203.0417619731488</v>
      </c>
      <c r="G64" s="45">
        <f t="shared" si="7"/>
        <v>3753.404364764152</v>
      </c>
      <c r="H64" s="45">
        <f t="shared" si="7"/>
        <v>4201.9038411092524</v>
      </c>
      <c r="I64" s="45">
        <f t="shared" si="7"/>
        <v>4546.8884493095511</v>
      </c>
    </row>
    <row r="65" spans="1:9" x14ac:dyDescent="0.3">
      <c r="A65" t="s">
        <v>66</v>
      </c>
      <c r="C65" s="43">
        <f t="shared" ref="C65:I65" si="8">IF(C55&lt;&gt;0,C64/C55,0)</f>
        <v>9.9072864482138354E-2</v>
      </c>
      <c r="D65" s="43">
        <f t="shared" si="8"/>
        <v>0.14043918186101306</v>
      </c>
      <c r="E65" s="43">
        <f t="shared" si="8"/>
        <v>0.13954920439498913</v>
      </c>
      <c r="F65" s="43">
        <f t="shared" si="8"/>
        <v>0.14587967930582812</v>
      </c>
      <c r="G65" s="43">
        <f t="shared" si="8"/>
        <v>0.15540495728932283</v>
      </c>
      <c r="H65" s="43">
        <f t="shared" si="8"/>
        <v>0.16412689667122393</v>
      </c>
      <c r="I65" s="43">
        <f t="shared" si="8"/>
        <v>0.17077119153665243</v>
      </c>
    </row>
    <row r="67" spans="1:9" x14ac:dyDescent="0.3">
      <c r="A67" s="1" t="s">
        <v>159</v>
      </c>
    </row>
    <row r="68" spans="1:9" x14ac:dyDescent="0.3">
      <c r="A68" t="s">
        <v>160</v>
      </c>
      <c r="C68" s="45">
        <f>C64/(1+$B$4)^1</f>
        <v>1304.1042287868315</v>
      </c>
      <c r="D68" s="45">
        <f>D64/(1+$B$4)^2</f>
        <v>1881.2725366816601</v>
      </c>
      <c r="E68" s="45">
        <f>E64/(1+$B$4)^3</f>
        <v>1984.9050493313191</v>
      </c>
      <c r="F68" s="45">
        <f>F64/(1+$B$4)^4</f>
        <v>2163.1459141707733</v>
      </c>
      <c r="G68" s="45">
        <f>G64/(1+$B$4)^5</f>
        <v>2297.8907280690892</v>
      </c>
      <c r="H68" s="45">
        <f>H64/(1+$B$4)^6</f>
        <v>2332.0128073372425</v>
      </c>
      <c r="I68" s="45">
        <f>I64/(1+$B$4)^7</f>
        <v>2287.5991416681672</v>
      </c>
    </row>
    <row r="69" spans="1:9" x14ac:dyDescent="0.3">
      <c r="A69" t="s">
        <v>161</v>
      </c>
      <c r="B69" s="45">
        <f>I64*(1+$B$5)/($B$4-$B$5)</f>
        <v>64057.367313833609</v>
      </c>
    </row>
    <row r="70" spans="1:9" x14ac:dyDescent="0.3">
      <c r="A70" t="s">
        <v>162</v>
      </c>
      <c r="B70" s="45">
        <f>B69/(1+$B$4)^7</f>
        <v>32228.100627122294</v>
      </c>
    </row>
    <row r="72" spans="1:9" x14ac:dyDescent="0.3">
      <c r="A72" s="1" t="s">
        <v>163</v>
      </c>
    </row>
    <row r="73" spans="1:9" x14ac:dyDescent="0.3">
      <c r="A73" t="s">
        <v>164</v>
      </c>
      <c r="B73" s="45">
        <f>SUM(C68:I68)</f>
        <v>14250.930406045085</v>
      </c>
    </row>
    <row r="74" spans="1:9" x14ac:dyDescent="0.3">
      <c r="A74" t="s">
        <v>162</v>
      </c>
      <c r="B74" s="45">
        <f>B70</f>
        <v>32228.100627122294</v>
      </c>
    </row>
    <row r="75" spans="1:9" x14ac:dyDescent="0.3">
      <c r="A75" t="s">
        <v>165</v>
      </c>
      <c r="B75" s="45">
        <f>B73+B74</f>
        <v>46479.031033167383</v>
      </c>
    </row>
    <row r="76" spans="1:9" x14ac:dyDescent="0.3">
      <c r="A76" t="s">
        <v>166</v>
      </c>
      <c r="B76" s="46">
        <f>IF(B75&lt;&gt;0,B74/B75,0)</f>
        <v>0.69339011400914019</v>
      </c>
    </row>
    <row r="77" spans="1:9" x14ac:dyDescent="0.3">
      <c r="A77" t="s">
        <v>167</v>
      </c>
      <c r="B77" s="45">
        <f>-B49</f>
        <v>-603</v>
      </c>
    </row>
    <row r="78" spans="1:9" x14ac:dyDescent="0.3">
      <c r="A78" t="s">
        <v>168</v>
      </c>
      <c r="B78" s="45">
        <f>B48</f>
        <v>1539</v>
      </c>
    </row>
    <row r="79" spans="1:9" x14ac:dyDescent="0.3">
      <c r="A79" t="s">
        <v>169</v>
      </c>
      <c r="B79" s="45">
        <f>B75+B77+B78</f>
        <v>47415.031033167383</v>
      </c>
    </row>
    <row r="80" spans="1:9" x14ac:dyDescent="0.3">
      <c r="A80" t="s">
        <v>170</v>
      </c>
      <c r="B80" s="45">
        <f>B50/1000000</f>
        <v>156</v>
      </c>
    </row>
    <row r="81" spans="1:4" x14ac:dyDescent="0.3">
      <c r="A81" t="s">
        <v>171</v>
      </c>
      <c r="B81" s="45">
        <f>B80*(1+0.0014)^7</f>
        <v>157.53523596323288</v>
      </c>
    </row>
    <row r="82" spans="1:4" ht="15.6" x14ac:dyDescent="0.3">
      <c r="A82" t="s">
        <v>172</v>
      </c>
      <c r="B82" s="47">
        <f>IF(B81&lt;&gt;0,B79/B81,0)</f>
        <v>300.98048060964322</v>
      </c>
    </row>
    <row r="84" spans="1:4" x14ac:dyDescent="0.3">
      <c r="A84" s="1" t="s">
        <v>173</v>
      </c>
    </row>
    <row r="85" spans="1:4" x14ac:dyDescent="0.3">
      <c r="A85" t="s">
        <v>174</v>
      </c>
      <c r="B85" s="45">
        <f>B69</f>
        <v>64057.367313833609</v>
      </c>
    </row>
    <row r="86" spans="1:4" x14ac:dyDescent="0.3">
      <c r="A86" t="s">
        <v>175</v>
      </c>
      <c r="B86" s="45">
        <v>324432</v>
      </c>
    </row>
    <row r="87" spans="1:4" x14ac:dyDescent="0.3">
      <c r="A87" s="30" t="s">
        <v>176</v>
      </c>
    </row>
    <row r="88" spans="1:4" x14ac:dyDescent="0.3">
      <c r="A88" t="s">
        <v>177</v>
      </c>
      <c r="B88" s="48">
        <v>913.02</v>
      </c>
    </row>
    <row r="89" spans="1:4" x14ac:dyDescent="0.3">
      <c r="A89" t="s">
        <v>178</v>
      </c>
      <c r="B89" s="49">
        <f>B82/B88-1</f>
        <v>-0.6703462349021454</v>
      </c>
    </row>
    <row r="91" spans="1:4" ht="15.6" x14ac:dyDescent="0.3">
      <c r="A91" s="50" t="s">
        <v>179</v>
      </c>
    </row>
    <row r="92" spans="1:4" x14ac:dyDescent="0.3">
      <c r="A92" s="30" t="s">
        <v>180</v>
      </c>
    </row>
    <row r="93" spans="1:4" x14ac:dyDescent="0.3">
      <c r="A93" s="1"/>
      <c r="B93" s="51" t="s">
        <v>181</v>
      </c>
      <c r="C93" s="52" t="s">
        <v>182</v>
      </c>
      <c r="D93" s="53" t="s">
        <v>183</v>
      </c>
    </row>
    <row r="94" spans="1:4" ht="15.6" x14ac:dyDescent="0.3">
      <c r="A94" s="7" t="s">
        <v>172</v>
      </c>
      <c r="B94" s="54">
        <v>157.30368152211</v>
      </c>
      <c r="C94" s="55">
        <v>312.78935026483242</v>
      </c>
      <c r="D94" s="47">
        <v>456.37125799060982</v>
      </c>
    </row>
    <row r="95" spans="1:4" x14ac:dyDescent="0.3">
      <c r="A95" t="s">
        <v>184</v>
      </c>
      <c r="B95" s="89">
        <v>-0.82771058517654605</v>
      </c>
      <c r="C95" s="90">
        <v>-0.65741237840919986</v>
      </c>
      <c r="D95" s="91">
        <v>-0.5001519594416225</v>
      </c>
    </row>
    <row r="96" spans="1:4" x14ac:dyDescent="0.3">
      <c r="A96" s="7" t="s">
        <v>185</v>
      </c>
      <c r="B96" s="43">
        <v>-0.1191</v>
      </c>
      <c r="C96" s="43">
        <v>0.62619999999999998</v>
      </c>
      <c r="D96" s="43">
        <v>1.3714999999999999</v>
      </c>
    </row>
    <row r="97" spans="1:6" x14ac:dyDescent="0.3">
      <c r="A97" s="7" t="s">
        <v>186</v>
      </c>
      <c r="B97" s="43">
        <v>0.03</v>
      </c>
      <c r="C97" s="43">
        <v>0.04</v>
      </c>
      <c r="D97" s="43">
        <v>0.03</v>
      </c>
    </row>
    <row r="98" spans="1:6" x14ac:dyDescent="0.3">
      <c r="A98" s="7" t="s">
        <v>187</v>
      </c>
      <c r="B98" s="43">
        <v>0.11</v>
      </c>
      <c r="C98" s="43">
        <v>0.22</v>
      </c>
      <c r="D98" s="43">
        <v>0.27</v>
      </c>
    </row>
    <row r="99" spans="1:6" x14ac:dyDescent="0.3">
      <c r="A99" s="7" t="s">
        <v>188</v>
      </c>
      <c r="B99" s="43">
        <v>0.2185</v>
      </c>
      <c r="C99" s="43">
        <v>0.22</v>
      </c>
      <c r="D99" s="43">
        <v>0.219</v>
      </c>
    </row>
    <row r="100" spans="1:6" x14ac:dyDescent="0.3">
      <c r="A100" s="7" t="s">
        <v>189</v>
      </c>
      <c r="B100" s="43">
        <v>1.4322712620668851E-3</v>
      </c>
      <c r="C100" s="43">
        <v>1.4322712620668851E-3</v>
      </c>
      <c r="D100" s="43">
        <v>1.4322712620668851E-3</v>
      </c>
    </row>
    <row r="102" spans="1:6" x14ac:dyDescent="0.3">
      <c r="A102" s="101" t="s">
        <v>190</v>
      </c>
      <c r="B102" s="100"/>
      <c r="C102" s="100"/>
      <c r="D102" s="100"/>
    </row>
    <row r="103" spans="1:6" ht="15.6" x14ac:dyDescent="0.3">
      <c r="A103" s="7" t="s">
        <v>191</v>
      </c>
      <c r="B103" s="56">
        <v>229.1913208535062</v>
      </c>
    </row>
    <row r="104" spans="1:6" x14ac:dyDescent="0.3">
      <c r="A104" t="s">
        <v>192</v>
      </c>
      <c r="B104" s="92">
        <v>-0.26726622674507761</v>
      </c>
    </row>
    <row r="105" spans="1:6" x14ac:dyDescent="0.3">
      <c r="A105" t="s">
        <v>193</v>
      </c>
      <c r="B105" s="92">
        <v>-0.74897447936134354</v>
      </c>
    </row>
    <row r="106" spans="1:6" x14ac:dyDescent="0.3">
      <c r="A106" s="7" t="s">
        <v>194</v>
      </c>
      <c r="B106" t="s">
        <v>195</v>
      </c>
    </row>
    <row r="107" spans="1:6" ht="31.95" customHeight="1" x14ac:dyDescent="0.3">
      <c r="A107" s="102" t="s">
        <v>381</v>
      </c>
      <c r="B107" s="100"/>
      <c r="C107" s="100"/>
      <c r="D107" s="100"/>
    </row>
    <row r="110" spans="1:6" ht="15.6" x14ac:dyDescent="0.3">
      <c r="A110" s="50" t="s">
        <v>196</v>
      </c>
    </row>
    <row r="111" spans="1:6" x14ac:dyDescent="0.3">
      <c r="A111" s="30" t="s">
        <v>197</v>
      </c>
    </row>
    <row r="112" spans="1:6" x14ac:dyDescent="0.3">
      <c r="A112" s="27" t="s">
        <v>198</v>
      </c>
      <c r="B112" s="57">
        <v>1.4999999999999999E-2</v>
      </c>
      <c r="C112" s="57">
        <v>0.02</v>
      </c>
      <c r="D112" s="57">
        <v>2.5000000000000001E-2</v>
      </c>
      <c r="E112" s="57">
        <v>0.03</v>
      </c>
      <c r="F112" s="57">
        <v>3.5000000000000003E-2</v>
      </c>
    </row>
    <row r="113" spans="1:6" x14ac:dyDescent="0.3">
      <c r="A113" s="57">
        <v>8.3099999999999993E-2</v>
      </c>
      <c r="B113" s="48">
        <v>349.80254199139023</v>
      </c>
      <c r="C113" s="48">
        <v>370.60050599013732</v>
      </c>
      <c r="D113" s="48">
        <v>394.9781539817842</v>
      </c>
      <c r="E113" s="48">
        <v>423.94669613381637</v>
      </c>
      <c r="F113" s="48">
        <v>458.93780422182232</v>
      </c>
    </row>
    <row r="114" spans="1:6" x14ac:dyDescent="0.3">
      <c r="A114" s="57">
        <v>9.3100000000000002E-2</v>
      </c>
      <c r="B114" s="48">
        <v>301.11549990770578</v>
      </c>
      <c r="C114" s="48">
        <v>315.92979023535548</v>
      </c>
      <c r="D114" s="48">
        <v>332.91945359202862</v>
      </c>
      <c r="E114" s="48">
        <v>352.60161510348343</v>
      </c>
      <c r="F114" s="48">
        <v>375.67141198696157</v>
      </c>
    </row>
    <row r="115" spans="1:6" x14ac:dyDescent="0.3">
      <c r="A115" s="57">
        <v>0.1031</v>
      </c>
      <c r="B115" s="48">
        <v>263.65800451090553</v>
      </c>
      <c r="C115" s="48">
        <v>274.59611707896318</v>
      </c>
      <c r="D115" s="48">
        <v>286.93475622423711</v>
      </c>
      <c r="E115" s="58">
        <v>300.96130770128582</v>
      </c>
      <c r="F115" s="48">
        <v>317.04755836732829</v>
      </c>
    </row>
    <row r="116" spans="1:6" x14ac:dyDescent="0.3">
      <c r="A116" s="57">
        <v>0.11310000000000001</v>
      </c>
      <c r="B116" s="48">
        <v>233.98709504722569</v>
      </c>
      <c r="C116" s="48">
        <v>242.29295957693421</v>
      </c>
      <c r="D116" s="48">
        <v>251.5416010112634</v>
      </c>
      <c r="E116" s="48">
        <v>261.90319568678751</v>
      </c>
      <c r="F116" s="48">
        <v>273.59149902755149</v>
      </c>
    </row>
    <row r="117" spans="1:6" x14ac:dyDescent="0.3">
      <c r="A117" s="57">
        <v>0.1231</v>
      </c>
      <c r="B117" s="48">
        <v>209.93433651535389</v>
      </c>
      <c r="C117" s="48">
        <v>216.38513842083771</v>
      </c>
      <c r="D117" s="48">
        <v>223.49351442473991</v>
      </c>
      <c r="E117" s="48">
        <v>231.36541094463601</v>
      </c>
      <c r="F117" s="48">
        <v>240.13082579823191</v>
      </c>
    </row>
  </sheetData>
  <mergeCells count="2">
    <mergeCell ref="A102:D102"/>
    <mergeCell ref="A107:D10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7"/>
  <sheetViews>
    <sheetView topLeftCell="A45" workbookViewId="0">
      <selection activeCell="A51" sqref="A51"/>
    </sheetView>
  </sheetViews>
  <sheetFormatPr defaultRowHeight="14.4" x14ac:dyDescent="0.3"/>
  <cols>
    <col min="1" max="1" width="20" customWidth="1"/>
    <col min="2" max="8" width="10" customWidth="1"/>
  </cols>
  <sheetData>
    <row r="1" spans="1:3" ht="17.399999999999999" x14ac:dyDescent="0.35">
      <c r="A1" s="29" t="s">
        <v>199</v>
      </c>
    </row>
    <row r="2" spans="1:3" x14ac:dyDescent="0.3">
      <c r="A2" s="59" t="s">
        <v>200</v>
      </c>
    </row>
    <row r="4" spans="1:3" x14ac:dyDescent="0.3">
      <c r="A4" s="1" t="s">
        <v>201</v>
      </c>
    </row>
    <row r="5" spans="1:3" ht="18" x14ac:dyDescent="0.35">
      <c r="A5" t="s">
        <v>202</v>
      </c>
      <c r="B5" s="60">
        <v>0.50196533203125004</v>
      </c>
    </row>
    <row r="6" spans="1:3" x14ac:dyDescent="0.3">
      <c r="A6" t="s">
        <v>203</v>
      </c>
      <c r="B6" s="48">
        <v>913.02</v>
      </c>
    </row>
    <row r="8" spans="1:3" x14ac:dyDescent="0.3">
      <c r="A8" s="1" t="s">
        <v>204</v>
      </c>
    </row>
    <row r="9" spans="1:3" x14ac:dyDescent="0.3">
      <c r="A9" t="s">
        <v>205</v>
      </c>
      <c r="B9" s="61">
        <v>0.2360188261351053</v>
      </c>
    </row>
    <row r="10" spans="1:3" x14ac:dyDescent="0.3">
      <c r="A10" s="62" t="s">
        <v>206</v>
      </c>
    </row>
    <row r="12" spans="1:3" x14ac:dyDescent="0.3">
      <c r="A12" s="63" t="s">
        <v>207</v>
      </c>
    </row>
    <row r="14" spans="1:3" x14ac:dyDescent="0.3">
      <c r="A14" s="1" t="s">
        <v>208</v>
      </c>
    </row>
    <row r="15" spans="1:3" x14ac:dyDescent="0.3">
      <c r="A15" s="30" t="s">
        <v>209</v>
      </c>
    </row>
    <row r="16" spans="1:3" x14ac:dyDescent="0.3">
      <c r="A16" t="s">
        <v>210</v>
      </c>
      <c r="B16" s="64">
        <v>31489.548535156249</v>
      </c>
      <c r="C16" s="65" t="s">
        <v>211</v>
      </c>
    </row>
    <row r="17" spans="1:8" x14ac:dyDescent="0.3">
      <c r="A17" t="s">
        <v>212</v>
      </c>
      <c r="B17" s="66">
        <v>0.67209472656250002</v>
      </c>
      <c r="C17" s="65" t="s">
        <v>213</v>
      </c>
    </row>
    <row r="18" spans="1:8" x14ac:dyDescent="0.3">
      <c r="A18" t="s">
        <v>214</v>
      </c>
      <c r="B18" s="66">
        <v>8.6774924596613762E-2</v>
      </c>
      <c r="C18" s="65" t="s">
        <v>215</v>
      </c>
    </row>
    <row r="20" spans="1:8" x14ac:dyDescent="0.3">
      <c r="A20" s="1" t="s">
        <v>216</v>
      </c>
      <c r="C20" s="67" t="s">
        <v>217</v>
      </c>
    </row>
    <row r="21" spans="1:8" x14ac:dyDescent="0.3">
      <c r="A21" t="s">
        <v>106</v>
      </c>
      <c r="B21" s="41">
        <f>DCF!B4</f>
        <v>0.1031109519353826</v>
      </c>
    </row>
    <row r="22" spans="1:8" x14ac:dyDescent="0.3">
      <c r="A22" t="s">
        <v>107</v>
      </c>
      <c r="B22" s="41">
        <f>DCF!B5</f>
        <v>0.03</v>
      </c>
    </row>
    <row r="23" spans="1:8" x14ac:dyDescent="0.3">
      <c r="A23" t="s">
        <v>108</v>
      </c>
      <c r="B23" s="41">
        <f>DCF!B6</f>
        <v>0.21</v>
      </c>
    </row>
    <row r="24" spans="1:8" x14ac:dyDescent="0.3">
      <c r="A24" t="s">
        <v>64</v>
      </c>
      <c r="B24" s="41">
        <f>DCF!B7</f>
        <v>0.22</v>
      </c>
    </row>
    <row r="25" spans="1:8" x14ac:dyDescent="0.3">
      <c r="A25" t="s">
        <v>110</v>
      </c>
      <c r="B25" s="41">
        <f>DCF!B8</f>
        <v>0.1</v>
      </c>
    </row>
    <row r="26" spans="1:8" x14ac:dyDescent="0.3">
      <c r="A26" t="s">
        <v>112</v>
      </c>
      <c r="B26" s="41">
        <f>DCF!B10</f>
        <v>0.1</v>
      </c>
    </row>
    <row r="28" spans="1:8" x14ac:dyDescent="0.3">
      <c r="A28" s="1" t="s">
        <v>218</v>
      </c>
    </row>
    <row r="29" spans="1:8" x14ac:dyDescent="0.3">
      <c r="A29" s="68" t="s">
        <v>219</v>
      </c>
    </row>
    <row r="30" spans="1:8" x14ac:dyDescent="0.3">
      <c r="A30" s="1" t="s">
        <v>198</v>
      </c>
      <c r="B30" s="69">
        <v>0.01</v>
      </c>
      <c r="C30" s="69">
        <v>1.4999999999999999E-2</v>
      </c>
      <c r="D30" s="69">
        <v>0.02</v>
      </c>
      <c r="E30" s="69">
        <v>2.5000000000000001E-2</v>
      </c>
      <c r="F30" s="69">
        <v>0.03</v>
      </c>
      <c r="G30" s="69">
        <v>3.5000000000000003E-2</v>
      </c>
      <c r="H30" s="69">
        <v>0.04</v>
      </c>
    </row>
    <row r="31" spans="1:8" x14ac:dyDescent="0.3">
      <c r="A31" s="69">
        <v>7.3099999999999998E-2</v>
      </c>
      <c r="B31" s="70">
        <v>0.42933349609374999</v>
      </c>
      <c r="C31" s="70">
        <v>0.41163330078124999</v>
      </c>
      <c r="D31" s="43">
        <v>0.39252929687499999</v>
      </c>
      <c r="E31" s="43">
        <v>0.37171630859374999</v>
      </c>
      <c r="F31" s="43">
        <v>0.34888916015624999</v>
      </c>
      <c r="G31" s="43">
        <v>0.32355957031249999</v>
      </c>
      <c r="H31" s="43">
        <v>0.29511718749999999</v>
      </c>
    </row>
    <row r="32" spans="1:8" x14ac:dyDescent="0.3">
      <c r="A32" s="69">
        <v>8.3099999999999993E-2</v>
      </c>
      <c r="B32" s="70">
        <v>0.47474365234374999</v>
      </c>
      <c r="C32" s="70">
        <v>0.45924072265624999</v>
      </c>
      <c r="D32" s="70">
        <v>0.44257812499999999</v>
      </c>
      <c r="E32" s="70">
        <v>0.42475585937499999</v>
      </c>
      <c r="F32" s="70">
        <v>0.40546874999999999</v>
      </c>
      <c r="G32" s="43">
        <v>0.38447265624999999</v>
      </c>
      <c r="H32" s="43">
        <v>0.36140136718749999</v>
      </c>
    </row>
    <row r="33" spans="1:8" x14ac:dyDescent="0.3">
      <c r="A33" s="69">
        <v>9.3100000000000002E-2</v>
      </c>
      <c r="B33" s="70">
        <v>0.51697998046875004</v>
      </c>
      <c r="C33" s="70">
        <v>0.50306396484375004</v>
      </c>
      <c r="D33" s="70">
        <v>0.48835449218749999</v>
      </c>
      <c r="E33" s="70">
        <v>0.47266845703124999</v>
      </c>
      <c r="F33" s="70">
        <v>0.45588378906249999</v>
      </c>
      <c r="G33" s="70">
        <v>0.43781738281249999</v>
      </c>
      <c r="H33" s="70">
        <v>0.41834716796874999</v>
      </c>
    </row>
    <row r="34" spans="1:8" x14ac:dyDescent="0.3">
      <c r="A34" s="69">
        <v>0.1031</v>
      </c>
      <c r="B34" s="70">
        <v>0.55671386718750004</v>
      </c>
      <c r="C34" s="70">
        <v>0.54414062500000004</v>
      </c>
      <c r="D34" s="70">
        <v>0.53083496093750004</v>
      </c>
      <c r="E34" s="70">
        <v>0.51679687500000004</v>
      </c>
      <c r="F34" s="49">
        <v>0.50190429687500004</v>
      </c>
      <c r="G34" s="70">
        <v>0.48606567382812499</v>
      </c>
      <c r="H34" s="70">
        <v>0.46912841796874999</v>
      </c>
    </row>
    <row r="35" spans="1:8" x14ac:dyDescent="0.3">
      <c r="A35" s="69">
        <v>0.11310000000000001</v>
      </c>
      <c r="B35" s="70">
        <v>0.59449462890625004</v>
      </c>
      <c r="C35" s="70">
        <v>0.58295898437500004</v>
      </c>
      <c r="D35" s="70">
        <v>0.57081298828125004</v>
      </c>
      <c r="E35" s="70">
        <v>0.55811767578125004</v>
      </c>
      <c r="F35" s="70">
        <v>0.54468994140625004</v>
      </c>
      <c r="G35" s="70">
        <v>0.53052978515625004</v>
      </c>
      <c r="H35" s="70">
        <v>0.51545410156250004</v>
      </c>
    </row>
    <row r="36" spans="1:8" x14ac:dyDescent="0.3">
      <c r="A36" s="69">
        <v>0.1231</v>
      </c>
      <c r="B36" s="70">
        <v>0.63062744140625004</v>
      </c>
      <c r="C36" s="70">
        <v>0.61994628906250004</v>
      </c>
      <c r="D36" s="70">
        <v>0.60877685546875004</v>
      </c>
      <c r="E36" s="70">
        <v>0.59711914062500004</v>
      </c>
      <c r="F36" s="70">
        <v>0.58491210937500004</v>
      </c>
      <c r="G36" s="70">
        <v>0.57203369140625004</v>
      </c>
      <c r="H36" s="70">
        <v>0.55854492187500004</v>
      </c>
    </row>
    <row r="37" spans="1:8" x14ac:dyDescent="0.3">
      <c r="A37" s="69">
        <v>0.1331</v>
      </c>
      <c r="B37" s="70">
        <v>0.66541748046875004</v>
      </c>
      <c r="C37" s="70">
        <v>0.65546875000000004</v>
      </c>
      <c r="D37" s="70">
        <v>0.64515380859375004</v>
      </c>
      <c r="E37" s="70">
        <v>0.63435058593750004</v>
      </c>
      <c r="F37" s="70">
        <v>0.62312011718750004</v>
      </c>
      <c r="G37" s="70">
        <v>0.61134033203125004</v>
      </c>
      <c r="H37" s="70">
        <v>0.59901123046875004</v>
      </c>
    </row>
    <row r="40" spans="1:8" x14ac:dyDescent="0.3">
      <c r="A40" s="1" t="s">
        <v>220</v>
      </c>
    </row>
    <row r="41" spans="1:8" x14ac:dyDescent="0.3">
      <c r="A41" s="102" t="s">
        <v>221</v>
      </c>
      <c r="B41" s="100"/>
      <c r="C41" s="100"/>
      <c r="D41" s="100"/>
      <c r="E41" s="100"/>
      <c r="F41" s="100"/>
      <c r="G41" s="100"/>
    </row>
    <row r="42" spans="1:8" x14ac:dyDescent="0.3">
      <c r="A42" s="1" t="s">
        <v>222</v>
      </c>
      <c r="B42" s="69">
        <v>0.40196533203125012</v>
      </c>
      <c r="C42" s="69">
        <v>0.45196533203125011</v>
      </c>
      <c r="D42" s="69">
        <v>0.50196533203125004</v>
      </c>
      <c r="E42" s="69">
        <v>0.55196533203125009</v>
      </c>
      <c r="F42" s="69">
        <v>0.60196533203125002</v>
      </c>
    </row>
    <row r="43" spans="1:8" x14ac:dyDescent="0.3">
      <c r="A43" s="69">
        <v>0.12</v>
      </c>
      <c r="B43" s="48">
        <v>187.01047901406159</v>
      </c>
      <c r="C43" s="48">
        <v>211.3274637783837</v>
      </c>
      <c r="D43" s="48">
        <v>236.52079084638149</v>
      </c>
      <c r="E43" s="48">
        <v>261.96494063411018</v>
      </c>
      <c r="F43" s="48">
        <v>286.84041497166987</v>
      </c>
    </row>
    <row r="44" spans="1:8" x14ac:dyDescent="0.3">
      <c r="A44" s="69">
        <v>0.17</v>
      </c>
      <c r="B44" s="48">
        <v>401.63862728323937</v>
      </c>
      <c r="C44" s="48">
        <v>481.62147624814202</v>
      </c>
      <c r="D44" s="48">
        <v>574.78223487602202</v>
      </c>
      <c r="E44" s="48">
        <v>682.7119432479135</v>
      </c>
      <c r="F44" s="48">
        <v>807.11832546664914</v>
      </c>
    </row>
    <row r="45" spans="1:8" x14ac:dyDescent="0.3">
      <c r="A45" s="69">
        <v>0.22</v>
      </c>
      <c r="B45" s="48">
        <v>616.26677555241758</v>
      </c>
      <c r="C45" s="48">
        <v>751.9154887179003</v>
      </c>
      <c r="D45" s="58">
        <v>913.04367890566311</v>
      </c>
      <c r="E45" s="48">
        <v>1103.458945861717</v>
      </c>
      <c r="F45" s="48">
        <v>1327.396235961628</v>
      </c>
    </row>
    <row r="46" spans="1:8" x14ac:dyDescent="0.3">
      <c r="A46" s="69">
        <v>0.27</v>
      </c>
      <c r="B46" s="48">
        <v>830.8949238215954</v>
      </c>
      <c r="C46" s="48">
        <v>1022.209501187659</v>
      </c>
      <c r="D46" s="48">
        <v>1251.3051229353041</v>
      </c>
      <c r="E46" s="48">
        <v>1524.2059484755209</v>
      </c>
      <c r="F46" s="48">
        <v>1847.674146456608</v>
      </c>
    </row>
    <row r="47" spans="1:8" x14ac:dyDescent="0.3">
      <c r="A47" s="69">
        <v>0.32</v>
      </c>
      <c r="B47" s="48">
        <v>1045.523072090773</v>
      </c>
      <c r="C47" s="48">
        <v>1292.503513657417</v>
      </c>
      <c r="D47" s="48">
        <v>1589.566566964945</v>
      </c>
      <c r="E47" s="48">
        <v>1944.952951089324</v>
      </c>
      <c r="F47" s="48">
        <v>2367.9520569515862</v>
      </c>
    </row>
    <row r="49" spans="1:7" ht="30" customHeight="1" x14ac:dyDescent="0.3">
      <c r="A49" s="103" t="s">
        <v>223</v>
      </c>
      <c r="B49" s="100"/>
      <c r="C49" s="100"/>
      <c r="D49" s="100"/>
      <c r="E49" s="100"/>
      <c r="F49" s="100"/>
      <c r="G49" s="100"/>
    </row>
    <row r="52" spans="1:7" x14ac:dyDescent="0.3">
      <c r="A52" s="1" t="s">
        <v>224</v>
      </c>
    </row>
    <row r="53" spans="1:7" ht="30" customHeight="1" x14ac:dyDescent="0.3">
      <c r="A53" s="102" t="s">
        <v>225</v>
      </c>
      <c r="B53" s="100"/>
      <c r="C53" s="100"/>
      <c r="D53" s="100"/>
    </row>
    <row r="54" spans="1:7" x14ac:dyDescent="0.3">
      <c r="A54" t="s">
        <v>226</v>
      </c>
      <c r="B54" s="41">
        <v>0.1031109519353826</v>
      </c>
    </row>
    <row r="55" spans="1:7" x14ac:dyDescent="0.3">
      <c r="A55" t="s">
        <v>227</v>
      </c>
      <c r="B55" s="49">
        <v>5.2067565917968753E-2</v>
      </c>
    </row>
    <row r="56" spans="1:7" x14ac:dyDescent="0.3">
      <c r="A56" t="s">
        <v>228</v>
      </c>
      <c r="B56" s="98">
        <v>5.1043386017413893E-2</v>
      </c>
    </row>
    <row r="57" spans="1:7" ht="30" customHeight="1" x14ac:dyDescent="0.3">
      <c r="A57" s="103" t="s">
        <v>229</v>
      </c>
      <c r="B57" s="100"/>
      <c r="C57" s="100"/>
      <c r="D57" s="100"/>
    </row>
  </sheetData>
  <mergeCells count="4">
    <mergeCell ref="A53:D53"/>
    <mergeCell ref="A41:G41"/>
    <mergeCell ref="A49:G49"/>
    <mergeCell ref="A57:D5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2"/>
  <sheetViews>
    <sheetView topLeftCell="A18" workbookViewId="0"/>
  </sheetViews>
  <sheetFormatPr defaultRowHeight="14.4" x14ac:dyDescent="0.3"/>
  <cols>
    <col min="1" max="1" width="42" customWidth="1"/>
    <col min="2" max="2" width="45" customWidth="1"/>
    <col min="3" max="3" width="18" customWidth="1"/>
  </cols>
  <sheetData>
    <row r="1" spans="1:3" ht="17.399999999999999" x14ac:dyDescent="0.35">
      <c r="A1" s="29" t="s">
        <v>230</v>
      </c>
    </row>
    <row r="3" spans="1:3" x14ac:dyDescent="0.3">
      <c r="A3" s="39" t="s">
        <v>231</v>
      </c>
      <c r="B3" s="40"/>
      <c r="C3" s="40"/>
    </row>
    <row r="4" spans="1:3" x14ac:dyDescent="0.3">
      <c r="A4" s="30" t="s">
        <v>232</v>
      </c>
    </row>
    <row r="5" spans="1:3" x14ac:dyDescent="0.3">
      <c r="A5" s="30" t="s">
        <v>233</v>
      </c>
    </row>
    <row r="6" spans="1:3" x14ac:dyDescent="0.3">
      <c r="A6" s="30" t="s">
        <v>234</v>
      </c>
    </row>
    <row r="7" spans="1:3" x14ac:dyDescent="0.3">
      <c r="A7" s="30" t="s">
        <v>235</v>
      </c>
    </row>
    <row r="8" spans="1:3" x14ac:dyDescent="0.3">
      <c r="A8" s="30" t="s">
        <v>236</v>
      </c>
    </row>
    <row r="10" spans="1:3" x14ac:dyDescent="0.3">
      <c r="A10" s="39" t="s">
        <v>237</v>
      </c>
      <c r="B10" s="40"/>
      <c r="C10" s="40"/>
    </row>
    <row r="11" spans="1:3" x14ac:dyDescent="0.3">
      <c r="A11" s="35" t="s">
        <v>238</v>
      </c>
      <c r="B11" s="71">
        <v>304.36904823705089</v>
      </c>
    </row>
    <row r="12" spans="1:3" x14ac:dyDescent="0.3">
      <c r="A12" s="35" t="s">
        <v>239</v>
      </c>
      <c r="B12" s="71">
        <v>287.10926784083949</v>
      </c>
    </row>
    <row r="13" spans="1:3" x14ac:dyDescent="0.3">
      <c r="A13" s="35" t="s">
        <v>240</v>
      </c>
      <c r="B13" s="71">
        <v>116.5817552679047</v>
      </c>
    </row>
    <row r="15" spans="1:3" x14ac:dyDescent="0.3">
      <c r="A15" s="39" t="s">
        <v>241</v>
      </c>
      <c r="B15" s="40"/>
      <c r="C15" s="40"/>
    </row>
    <row r="16" spans="1:3" x14ac:dyDescent="0.3">
      <c r="A16" s="72" t="s">
        <v>242</v>
      </c>
      <c r="B16" s="72" t="s">
        <v>243</v>
      </c>
      <c r="C16" s="72" t="s">
        <v>244</v>
      </c>
    </row>
    <row r="17" spans="1:3" x14ac:dyDescent="0.3">
      <c r="A17" s="35" t="s">
        <v>245</v>
      </c>
      <c r="B17" s="48">
        <v>158.15101927039649</v>
      </c>
      <c r="C17" s="93">
        <v>-0.82678252473067781</v>
      </c>
    </row>
    <row r="18" spans="1:3" x14ac:dyDescent="0.3">
      <c r="A18" s="35" t="s">
        <v>246</v>
      </c>
      <c r="B18" s="48">
        <v>225.26146478446501</v>
      </c>
      <c r="C18" s="93">
        <v>-0.75327871811738523</v>
      </c>
    </row>
    <row r="19" spans="1:3" x14ac:dyDescent="0.3">
      <c r="A19" s="35" t="s">
        <v>247</v>
      </c>
      <c r="B19" s="73">
        <v>287.10926784083949</v>
      </c>
      <c r="C19" s="93">
        <v>-0.68553890622238334</v>
      </c>
    </row>
    <row r="20" spans="1:3" x14ac:dyDescent="0.3">
      <c r="A20" s="35" t="s">
        <v>248</v>
      </c>
      <c r="B20" s="48">
        <v>357.07148434079738</v>
      </c>
      <c r="C20" s="93">
        <v>-0.60891165106920175</v>
      </c>
    </row>
    <row r="21" spans="1:3" x14ac:dyDescent="0.3">
      <c r="A21" s="35" t="s">
        <v>249</v>
      </c>
      <c r="B21" s="48">
        <v>510.32068694614821</v>
      </c>
      <c r="C21" s="93">
        <v>-0.44106297020202379</v>
      </c>
    </row>
    <row r="23" spans="1:3" x14ac:dyDescent="0.3">
      <c r="A23" s="39" t="s">
        <v>250</v>
      </c>
      <c r="B23" s="40"/>
      <c r="C23" s="40"/>
    </row>
    <row r="24" spans="1:3" x14ac:dyDescent="0.3">
      <c r="A24" s="35" t="s">
        <v>251</v>
      </c>
      <c r="B24" s="48">
        <v>913.02</v>
      </c>
    </row>
    <row r="25" spans="1:3" ht="15.6" x14ac:dyDescent="0.3">
      <c r="A25" s="1" t="s">
        <v>252</v>
      </c>
      <c r="B25" s="74">
        <v>2E-3</v>
      </c>
      <c r="C25" s="30" t="s">
        <v>253</v>
      </c>
    </row>
    <row r="27" spans="1:3" x14ac:dyDescent="0.3">
      <c r="A27" s="39" t="s">
        <v>254</v>
      </c>
      <c r="B27" s="40"/>
      <c r="C27" s="40"/>
    </row>
    <row r="28" spans="1:3" x14ac:dyDescent="0.3">
      <c r="A28" s="35" t="s">
        <v>255</v>
      </c>
      <c r="B28" s="75">
        <v>157.30368152211</v>
      </c>
    </row>
    <row r="29" spans="1:3" x14ac:dyDescent="0.3">
      <c r="A29" s="35" t="s">
        <v>256</v>
      </c>
      <c r="B29" s="76">
        <v>312.78935026483242</v>
      </c>
    </row>
    <row r="30" spans="1:3" x14ac:dyDescent="0.3">
      <c r="A30" s="35" t="s">
        <v>257</v>
      </c>
      <c r="B30" s="58">
        <v>456.37125799060982</v>
      </c>
    </row>
    <row r="32" spans="1:3" x14ac:dyDescent="0.3">
      <c r="A32" s="39" t="s">
        <v>258</v>
      </c>
      <c r="B32" s="40"/>
      <c r="C32" s="40"/>
    </row>
    <row r="33" spans="1:3" x14ac:dyDescent="0.3">
      <c r="A33" s="77" t="s">
        <v>259</v>
      </c>
      <c r="B33" s="78" t="s">
        <v>260</v>
      </c>
      <c r="C33" s="79" t="s">
        <v>261</v>
      </c>
    </row>
    <row r="34" spans="1:3" x14ac:dyDescent="0.3">
      <c r="A34" s="77" t="s">
        <v>262</v>
      </c>
      <c r="B34" s="78" t="s">
        <v>263</v>
      </c>
      <c r="C34" s="79" t="s">
        <v>264</v>
      </c>
    </row>
    <row r="35" spans="1:3" x14ac:dyDescent="0.3">
      <c r="A35" s="77" t="s">
        <v>265</v>
      </c>
      <c r="B35" s="78" t="s">
        <v>266</v>
      </c>
      <c r="C35" s="79" t="s">
        <v>267</v>
      </c>
    </row>
    <row r="36" spans="1:3" x14ac:dyDescent="0.3">
      <c r="A36" s="77" t="s">
        <v>268</v>
      </c>
      <c r="B36" s="78" t="s">
        <v>269</v>
      </c>
      <c r="C36" s="79" t="s">
        <v>270</v>
      </c>
    </row>
    <row r="37" spans="1:3" x14ac:dyDescent="0.3">
      <c r="A37" s="77" t="s">
        <v>271</v>
      </c>
      <c r="B37" s="78" t="s">
        <v>272</v>
      </c>
      <c r="C37" s="79" t="s">
        <v>273</v>
      </c>
    </row>
    <row r="38" spans="1:3" x14ac:dyDescent="0.3">
      <c r="A38" s="77" t="s">
        <v>274</v>
      </c>
      <c r="B38" s="78" t="s">
        <v>275</v>
      </c>
      <c r="C38" s="79" t="s">
        <v>276</v>
      </c>
    </row>
    <row r="39" spans="1:3" x14ac:dyDescent="0.3">
      <c r="A39" s="77" t="s">
        <v>277</v>
      </c>
      <c r="B39" s="78" t="s">
        <v>278</v>
      </c>
      <c r="C39" s="79" t="s">
        <v>279</v>
      </c>
    </row>
    <row r="40" spans="1:3" x14ac:dyDescent="0.3">
      <c r="A40" s="77" t="s">
        <v>280</v>
      </c>
      <c r="B40" s="78" t="s">
        <v>281</v>
      </c>
      <c r="C40" s="79" t="s">
        <v>282</v>
      </c>
    </row>
    <row r="41" spans="1:3" x14ac:dyDescent="0.3">
      <c r="A41" s="77" t="s">
        <v>283</v>
      </c>
      <c r="B41" s="78" t="s">
        <v>284</v>
      </c>
      <c r="C41" s="79" t="s">
        <v>285</v>
      </c>
    </row>
    <row r="42" spans="1:3" x14ac:dyDescent="0.3">
      <c r="A42" s="77" t="s">
        <v>286</v>
      </c>
      <c r="B42" s="78" t="s">
        <v>284</v>
      </c>
      <c r="C42" s="79" t="s">
        <v>287</v>
      </c>
    </row>
    <row r="43" spans="1:3" x14ac:dyDescent="0.3">
      <c r="A43" s="77" t="s">
        <v>288</v>
      </c>
      <c r="B43" s="78"/>
      <c r="C43" s="79" t="s">
        <v>289</v>
      </c>
    </row>
    <row r="44" spans="1:3" x14ac:dyDescent="0.3">
      <c r="A44" s="77" t="s">
        <v>290</v>
      </c>
      <c r="B44" s="78"/>
      <c r="C44" s="79" t="s">
        <v>291</v>
      </c>
    </row>
    <row r="45" spans="1:3" x14ac:dyDescent="0.3">
      <c r="A45" s="77" t="s">
        <v>292</v>
      </c>
      <c r="B45" s="78"/>
      <c r="C45" s="79" t="s">
        <v>293</v>
      </c>
    </row>
    <row r="46" spans="1:3" x14ac:dyDescent="0.3">
      <c r="A46" s="77" t="s">
        <v>294</v>
      </c>
      <c r="B46" s="78"/>
      <c r="C46" s="79" t="s">
        <v>295</v>
      </c>
    </row>
    <row r="47" spans="1:3" x14ac:dyDescent="0.3">
      <c r="A47" s="77" t="s">
        <v>296</v>
      </c>
      <c r="B47" s="78"/>
      <c r="C47" s="79" t="s">
        <v>295</v>
      </c>
    </row>
    <row r="48" spans="1:3" x14ac:dyDescent="0.3">
      <c r="A48" s="77" t="s">
        <v>297</v>
      </c>
      <c r="B48" s="78"/>
      <c r="C48" s="79" t="s">
        <v>291</v>
      </c>
    </row>
    <row r="49" spans="1:3" x14ac:dyDescent="0.3">
      <c r="A49" s="77" t="s">
        <v>298</v>
      </c>
      <c r="B49" s="78"/>
      <c r="C49" s="79" t="s">
        <v>295</v>
      </c>
    </row>
    <row r="50" spans="1:3" x14ac:dyDescent="0.3">
      <c r="A50" s="77" t="s">
        <v>299</v>
      </c>
      <c r="B50" s="78"/>
      <c r="C50" s="79" t="s">
        <v>295</v>
      </c>
    </row>
    <row r="51" spans="1:3" x14ac:dyDescent="0.3">
      <c r="A51" s="77" t="s">
        <v>300</v>
      </c>
      <c r="B51" s="78"/>
      <c r="C51" s="79" t="s">
        <v>295</v>
      </c>
    </row>
    <row r="52" spans="1:3" x14ac:dyDescent="0.3">
      <c r="A52" s="77" t="s">
        <v>301</v>
      </c>
      <c r="B52" s="78"/>
      <c r="C52" s="79" t="s">
        <v>291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7"/>
  <sheetViews>
    <sheetView workbookViewId="0"/>
  </sheetViews>
  <sheetFormatPr defaultRowHeight="14.4" x14ac:dyDescent="0.3"/>
  <cols>
    <col min="1" max="1" width="8" customWidth="1"/>
    <col min="2" max="2" width="25" customWidth="1"/>
    <col min="3" max="3" width="14" customWidth="1"/>
    <col min="4" max="4" width="10" customWidth="1"/>
    <col min="5" max="7" width="12" customWidth="1"/>
    <col min="8" max="11" width="10" customWidth="1"/>
    <col min="12" max="15" width="12" customWidth="1"/>
    <col min="16" max="17" width="10" customWidth="1"/>
  </cols>
  <sheetData>
    <row r="1" spans="1:17" ht="17.399999999999999" x14ac:dyDescent="0.35">
      <c r="A1" s="29" t="s">
        <v>302</v>
      </c>
    </row>
    <row r="3" spans="1:17" x14ac:dyDescent="0.3">
      <c r="A3" s="1" t="s">
        <v>303</v>
      </c>
      <c r="B3" s="1" t="s">
        <v>304</v>
      </c>
      <c r="C3" s="1" t="s">
        <v>305</v>
      </c>
      <c r="D3" s="1" t="s">
        <v>306</v>
      </c>
      <c r="E3" s="1" t="s">
        <v>307</v>
      </c>
      <c r="F3" s="1" t="s">
        <v>308</v>
      </c>
      <c r="G3" s="1" t="s">
        <v>309</v>
      </c>
      <c r="H3" s="1" t="s">
        <v>310</v>
      </c>
      <c r="I3" s="1" t="s">
        <v>311</v>
      </c>
      <c r="J3" s="1" t="s">
        <v>312</v>
      </c>
      <c r="K3" s="1" t="s">
        <v>313</v>
      </c>
      <c r="L3" s="1" t="s">
        <v>314</v>
      </c>
      <c r="M3" s="1" t="s">
        <v>39</v>
      </c>
      <c r="N3" s="1" t="s">
        <v>315</v>
      </c>
      <c r="O3" s="1" t="s">
        <v>65</v>
      </c>
      <c r="P3" s="1" t="s">
        <v>316</v>
      </c>
      <c r="Q3" s="1" t="s">
        <v>317</v>
      </c>
    </row>
    <row r="4" spans="1:17" x14ac:dyDescent="0.3">
      <c r="A4" t="s">
        <v>318</v>
      </c>
      <c r="B4" t="s">
        <v>319</v>
      </c>
      <c r="C4" s="94">
        <v>127.907938304</v>
      </c>
      <c r="D4" s="48">
        <v>374.11</v>
      </c>
      <c r="E4" s="95">
        <v>35.360109999999999</v>
      </c>
      <c r="F4" s="95">
        <v>26.668386000000002</v>
      </c>
      <c r="G4" s="95">
        <v>38.078000000000003</v>
      </c>
      <c r="I4" s="95">
        <v>11.909000000000001</v>
      </c>
      <c r="J4" s="95">
        <v>17.887160999999999</v>
      </c>
      <c r="K4" s="44">
        <v>0.75</v>
      </c>
      <c r="L4" s="43">
        <v>0.252</v>
      </c>
      <c r="M4" s="43">
        <v>0.42723998000000002</v>
      </c>
      <c r="N4" s="43">
        <v>0.31918999999999997</v>
      </c>
      <c r="O4" s="43">
        <v>0.35643999999999998</v>
      </c>
      <c r="P4" s="43">
        <v>0.41126000000000001</v>
      </c>
      <c r="Q4" s="43">
        <v>0.13</v>
      </c>
    </row>
    <row r="5" spans="1:17" x14ac:dyDescent="0.3">
      <c r="A5" t="s">
        <v>320</v>
      </c>
      <c r="B5" t="s">
        <v>321</v>
      </c>
      <c r="C5" s="94">
        <v>120.91769651200001</v>
      </c>
      <c r="D5" s="48">
        <v>539.75</v>
      </c>
      <c r="E5" s="95">
        <v>61.756293999999997</v>
      </c>
      <c r="F5" s="95">
        <v>26.325209999999998</v>
      </c>
      <c r="G5" s="95">
        <v>42.588999999999999</v>
      </c>
      <c r="I5" s="95">
        <v>12.076000000000001</v>
      </c>
      <c r="J5" s="95">
        <v>256.53516000000002</v>
      </c>
      <c r="K5" s="44">
        <v>0.83</v>
      </c>
      <c r="L5" s="43">
        <v>0.215</v>
      </c>
      <c r="M5" s="43">
        <v>0.38775003000000002</v>
      </c>
      <c r="N5" s="43">
        <v>0.29947000000000001</v>
      </c>
      <c r="O5" s="43">
        <v>0.19586000000000001</v>
      </c>
      <c r="Q5" s="43">
        <v>0.54</v>
      </c>
    </row>
    <row r="6" spans="1:17" x14ac:dyDescent="0.3">
      <c r="A6" t="s">
        <v>322</v>
      </c>
      <c r="B6" t="s">
        <v>323</v>
      </c>
      <c r="C6" s="94">
        <v>505.69851699200001</v>
      </c>
      <c r="D6" s="48">
        <v>448.42</v>
      </c>
      <c r="E6" s="95">
        <v>21.141915999999998</v>
      </c>
      <c r="F6" s="95">
        <v>4.4365680000000003</v>
      </c>
      <c r="G6" s="95">
        <v>13.638</v>
      </c>
      <c r="I6" s="95">
        <v>8.6359999999999992</v>
      </c>
      <c r="J6" s="95">
        <v>6.9807123999999998</v>
      </c>
      <c r="K6" s="44">
        <v>0.26</v>
      </c>
      <c r="L6" s="43">
        <v>1.9630000000000001</v>
      </c>
      <c r="M6" s="43">
        <v>0.58436999999999995</v>
      </c>
      <c r="N6" s="43">
        <v>0.67623999999999995</v>
      </c>
      <c r="O6" s="43">
        <v>0.41486000000000001</v>
      </c>
      <c r="P6" s="43">
        <v>0.39823002000000002</v>
      </c>
      <c r="Q6" s="43">
        <v>0.13</v>
      </c>
    </row>
    <row r="7" spans="1:17" x14ac:dyDescent="0.3">
      <c r="A7" s="7" t="s">
        <v>324</v>
      </c>
      <c r="E7" s="96">
        <v>35.360109999999999</v>
      </c>
      <c r="F7" s="96">
        <v>26.325209999999998</v>
      </c>
      <c r="G7" s="96">
        <v>38.078000000000003</v>
      </c>
      <c r="I7" s="96">
        <v>11.909000000000001</v>
      </c>
      <c r="J7" s="96">
        <v>17.887160999999999</v>
      </c>
      <c r="K7" s="80">
        <v>0.75</v>
      </c>
      <c r="L7" s="81">
        <v>0.252</v>
      </c>
      <c r="M7" s="81">
        <v>0.42723998000000002</v>
      </c>
      <c r="N7" s="81">
        <v>0.31918999999999997</v>
      </c>
      <c r="O7" s="81">
        <v>0.35643999999999998</v>
      </c>
      <c r="P7" s="81">
        <v>0.40474501000000002</v>
      </c>
      <c r="Q7" s="81">
        <v>0.13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9"/>
  <sheetViews>
    <sheetView topLeftCell="A41" workbookViewId="0">
      <selection activeCell="F12" sqref="F12"/>
    </sheetView>
  </sheetViews>
  <sheetFormatPr defaultRowHeight="14.4" x14ac:dyDescent="0.3"/>
  <cols>
    <col min="1" max="1" width="32" customWidth="1"/>
    <col min="2" max="7" width="14" customWidth="1"/>
  </cols>
  <sheetData>
    <row r="1" spans="1:2" ht="17.399999999999999" x14ac:dyDescent="0.35">
      <c r="A1" s="29" t="s">
        <v>325</v>
      </c>
    </row>
    <row r="2" spans="1:2" x14ac:dyDescent="0.3">
      <c r="A2" s="59" t="s">
        <v>326</v>
      </c>
    </row>
    <row r="4" spans="1:2" x14ac:dyDescent="0.3">
      <c r="A4" s="1" t="s">
        <v>327</v>
      </c>
    </row>
    <row r="5" spans="1:2" x14ac:dyDescent="0.3">
      <c r="A5" t="s">
        <v>328</v>
      </c>
      <c r="B5" s="48">
        <v>-7.14</v>
      </c>
    </row>
    <row r="6" spans="1:2" x14ac:dyDescent="0.3">
      <c r="A6" t="s">
        <v>329</v>
      </c>
      <c r="B6" s="48">
        <v>-4.83</v>
      </c>
    </row>
    <row r="7" spans="1:2" x14ac:dyDescent="0.3">
      <c r="A7" t="s">
        <v>330</v>
      </c>
      <c r="B7" s="45">
        <v>-319.95</v>
      </c>
    </row>
    <row r="8" spans="1:2" x14ac:dyDescent="0.3">
      <c r="A8" t="s">
        <v>331</v>
      </c>
      <c r="B8" s="45">
        <v>-466.95</v>
      </c>
    </row>
    <row r="9" spans="1:2" x14ac:dyDescent="0.3">
      <c r="A9" t="s">
        <v>332</v>
      </c>
      <c r="B9" s="45">
        <v>11534.19</v>
      </c>
    </row>
    <row r="10" spans="1:2" x14ac:dyDescent="0.3">
      <c r="A10" t="s">
        <v>333</v>
      </c>
      <c r="B10" s="45">
        <v>1449</v>
      </c>
    </row>
    <row r="11" spans="1:2" x14ac:dyDescent="0.3">
      <c r="A11" t="s">
        <v>334</v>
      </c>
      <c r="B11" s="43">
        <v>0.01</v>
      </c>
    </row>
    <row r="12" spans="1:2" x14ac:dyDescent="0.3">
      <c r="A12" t="s">
        <v>335</v>
      </c>
      <c r="B12" s="94">
        <v>156</v>
      </c>
    </row>
    <row r="13" spans="1:2" x14ac:dyDescent="0.3">
      <c r="A13" t="s">
        <v>44</v>
      </c>
      <c r="B13" s="45">
        <v>1539</v>
      </c>
    </row>
    <row r="14" spans="1:2" x14ac:dyDescent="0.3">
      <c r="A14" t="s">
        <v>54</v>
      </c>
      <c r="B14" s="45">
        <v>603</v>
      </c>
    </row>
    <row r="15" spans="1:2" x14ac:dyDescent="0.3">
      <c r="A15" t="s">
        <v>336</v>
      </c>
      <c r="B15" s="45">
        <v>10213</v>
      </c>
    </row>
    <row r="16" spans="1:2" x14ac:dyDescent="0.3">
      <c r="A16" t="s">
        <v>337</v>
      </c>
      <c r="B16" s="48">
        <v>65.47</v>
      </c>
    </row>
    <row r="17" spans="1:3" x14ac:dyDescent="0.3">
      <c r="A17" t="s">
        <v>338</v>
      </c>
      <c r="B17" s="82">
        <v>13.95</v>
      </c>
    </row>
    <row r="18" spans="1:3" x14ac:dyDescent="0.3">
      <c r="A18" t="s">
        <v>339</v>
      </c>
      <c r="B18" s="45">
        <v>1970</v>
      </c>
    </row>
    <row r="19" spans="1:3" x14ac:dyDescent="0.3">
      <c r="A19" t="s">
        <v>340</v>
      </c>
      <c r="B19" s="95">
        <v>2.95</v>
      </c>
    </row>
    <row r="20" spans="1:3" x14ac:dyDescent="0.3">
      <c r="A20" t="s">
        <v>341</v>
      </c>
      <c r="B20" s="45">
        <v>123.53</v>
      </c>
    </row>
    <row r="22" spans="1:3" x14ac:dyDescent="0.3">
      <c r="A22" s="1" t="s">
        <v>342</v>
      </c>
    </row>
    <row r="23" spans="1:3" x14ac:dyDescent="0.3">
      <c r="A23" t="s">
        <v>343</v>
      </c>
      <c r="B23" s="43">
        <v>-0.1166</v>
      </c>
    </row>
    <row r="24" spans="1:3" x14ac:dyDescent="0.3">
      <c r="A24" t="s">
        <v>344</v>
      </c>
      <c r="B24" s="82">
        <v>0.68700000000000006</v>
      </c>
    </row>
    <row r="25" spans="1:3" x14ac:dyDescent="0.3">
      <c r="A25" t="s">
        <v>345</v>
      </c>
      <c r="B25" s="82">
        <v>1.2726999999999999</v>
      </c>
    </row>
    <row r="26" spans="1:3" x14ac:dyDescent="0.3">
      <c r="A26" t="s">
        <v>346</v>
      </c>
      <c r="B26" s="66">
        <v>-0.1019</v>
      </c>
    </row>
    <row r="28" spans="1:3" x14ac:dyDescent="0.3">
      <c r="A28" s="1" t="s">
        <v>347</v>
      </c>
      <c r="B28" s="21" t="s">
        <v>348</v>
      </c>
    </row>
    <row r="29" spans="1:3" x14ac:dyDescent="0.3">
      <c r="A29" t="s">
        <v>349</v>
      </c>
      <c r="B29" s="43">
        <v>0.60599999999999998</v>
      </c>
      <c r="C29" s="83" t="s">
        <v>350</v>
      </c>
    </row>
    <row r="30" spans="1:3" x14ac:dyDescent="0.3">
      <c r="A30" t="s">
        <v>351</v>
      </c>
      <c r="B30" s="43">
        <v>0.22</v>
      </c>
      <c r="C30" s="83" t="s">
        <v>352</v>
      </c>
    </row>
    <row r="31" spans="1:3" x14ac:dyDescent="0.3">
      <c r="A31" t="s">
        <v>353</v>
      </c>
      <c r="B31" s="43">
        <v>0.17399999999999999</v>
      </c>
      <c r="C31" s="83" t="s">
        <v>281</v>
      </c>
    </row>
    <row r="33" spans="1:7" x14ac:dyDescent="0.3">
      <c r="A33" s="1" t="s">
        <v>354</v>
      </c>
      <c r="B33" s="21" t="s">
        <v>348</v>
      </c>
    </row>
    <row r="34" spans="1:7" x14ac:dyDescent="0.3">
      <c r="A34" s="84" t="s">
        <v>355</v>
      </c>
    </row>
    <row r="35" spans="1:7" x14ac:dyDescent="0.3">
      <c r="A35" t="s">
        <v>356</v>
      </c>
    </row>
    <row r="37" spans="1:7" ht="25.95" customHeight="1" x14ac:dyDescent="0.3">
      <c r="A37" s="106" t="s">
        <v>357</v>
      </c>
      <c r="B37" s="100"/>
      <c r="C37" s="100"/>
      <c r="D37" s="100"/>
      <c r="E37" s="100"/>
      <c r="F37" s="100"/>
      <c r="G37" s="100"/>
    </row>
    <row r="39" spans="1:7" x14ac:dyDescent="0.3">
      <c r="A39" s="1" t="s">
        <v>358</v>
      </c>
    </row>
    <row r="40" spans="1:7" x14ac:dyDescent="0.3">
      <c r="A40" s="1" t="s">
        <v>359</v>
      </c>
      <c r="B40" s="1" t="s">
        <v>360</v>
      </c>
      <c r="C40" s="1" t="s">
        <v>361</v>
      </c>
      <c r="D40" s="1" t="s">
        <v>362</v>
      </c>
      <c r="E40" s="1" t="s">
        <v>363</v>
      </c>
      <c r="F40" s="1" t="s">
        <v>364</v>
      </c>
      <c r="G40" s="1" t="s">
        <v>365</v>
      </c>
    </row>
    <row r="41" spans="1:7" x14ac:dyDescent="0.3">
      <c r="A41" t="s">
        <v>308</v>
      </c>
      <c r="B41" t="s">
        <v>366</v>
      </c>
    </row>
    <row r="42" spans="1:7" x14ac:dyDescent="0.3">
      <c r="A42" t="s">
        <v>309</v>
      </c>
      <c r="B42" t="s">
        <v>366</v>
      </c>
    </row>
    <row r="43" spans="1:7" x14ac:dyDescent="0.3">
      <c r="A43" t="s">
        <v>367</v>
      </c>
      <c r="B43" t="s">
        <v>366</v>
      </c>
    </row>
    <row r="44" spans="1:7" x14ac:dyDescent="0.3">
      <c r="A44" t="s">
        <v>368</v>
      </c>
      <c r="B44" s="97">
        <v>10.12265</v>
      </c>
      <c r="C44" s="97">
        <v>11.909000000000001</v>
      </c>
      <c r="D44" s="97">
        <v>13.695349999999999</v>
      </c>
      <c r="E44" s="85">
        <f>IF($B$12&lt;&gt;0,($B$9*B44-$B$14+$B$13)/$B$12,0)</f>
        <v>754.43954104807688</v>
      </c>
      <c r="F44" s="85">
        <f>IF($B$12&lt;&gt;0,($B$9*C44-$B$14+$B$13)/$B$12,0)</f>
        <v>886.51710711538476</v>
      </c>
      <c r="G44" s="85">
        <f>IF($B$12&lt;&gt;0,($B$9*D44-$B$14+$B$13)/$B$12,0)</f>
        <v>1018.5946731826924</v>
      </c>
    </row>
    <row r="46" spans="1:7" x14ac:dyDescent="0.3">
      <c r="A46" t="s">
        <v>177</v>
      </c>
      <c r="B46" s="86">
        <v>913.02</v>
      </c>
    </row>
    <row r="47" spans="1:7" x14ac:dyDescent="0.3">
      <c r="A47" s="1" t="s">
        <v>369</v>
      </c>
    </row>
    <row r="48" spans="1:7" x14ac:dyDescent="0.3">
      <c r="A48" t="s">
        <v>368</v>
      </c>
      <c r="B48" s="87">
        <f>IF(B46&lt;&gt;0,F44/B46-1,0)</f>
        <v>-2.9027724348442807E-2</v>
      </c>
    </row>
    <row r="50" spans="1:7" x14ac:dyDescent="0.3">
      <c r="A50" s="1" t="s">
        <v>370</v>
      </c>
    </row>
    <row r="51" spans="1:7" x14ac:dyDescent="0.3">
      <c r="A51" t="s">
        <v>371</v>
      </c>
      <c r="B51" s="58">
        <f>MIN(E44)</f>
        <v>754.43954104807688</v>
      </c>
    </row>
    <row r="52" spans="1:7" x14ac:dyDescent="0.3">
      <c r="A52" t="s">
        <v>372</v>
      </c>
      <c r="B52" s="58">
        <f>AVERAGE(F44)</f>
        <v>886.51710711538476</v>
      </c>
    </row>
    <row r="53" spans="1:7" x14ac:dyDescent="0.3">
      <c r="A53" t="s">
        <v>373</v>
      </c>
      <c r="B53" s="58">
        <f>MAX(G44)</f>
        <v>1018.5946731826924</v>
      </c>
    </row>
    <row r="55" spans="1:7" x14ac:dyDescent="0.3">
      <c r="A55" s="1" t="s">
        <v>374</v>
      </c>
    </row>
    <row r="56" spans="1:7" ht="28.05" customHeight="1" x14ac:dyDescent="0.3">
      <c r="A56" s="104" t="s">
        <v>375</v>
      </c>
      <c r="B56" s="100"/>
      <c r="C56" s="100"/>
      <c r="D56" s="100"/>
      <c r="E56" s="100"/>
      <c r="F56" s="100"/>
      <c r="G56" s="100"/>
    </row>
    <row r="57" spans="1:7" x14ac:dyDescent="0.3">
      <c r="A57" t="s">
        <v>376</v>
      </c>
      <c r="B57" s="88" t="s">
        <v>368</v>
      </c>
    </row>
    <row r="58" spans="1:7" ht="25.95" customHeight="1" x14ac:dyDescent="0.3">
      <c r="A58" s="105" t="s">
        <v>377</v>
      </c>
      <c r="B58" s="100"/>
      <c r="C58" s="100"/>
      <c r="D58" s="100"/>
      <c r="E58" s="100"/>
      <c r="F58" s="100"/>
      <c r="G58" s="100"/>
    </row>
    <row r="59" spans="1:7" ht="25.95" customHeight="1" x14ac:dyDescent="0.3">
      <c r="A59" s="105" t="s">
        <v>378</v>
      </c>
      <c r="B59" s="100"/>
      <c r="C59" s="100"/>
      <c r="D59" s="100"/>
      <c r="E59" s="100"/>
      <c r="F59" s="100"/>
      <c r="G59" s="100"/>
    </row>
  </sheetData>
  <mergeCells count="4">
    <mergeCell ref="A56:G56"/>
    <mergeCell ref="A58:G58"/>
    <mergeCell ref="A59:G59"/>
    <mergeCell ref="A37:G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Model</vt:lpstr>
      <vt:lpstr>Drivers</vt:lpstr>
      <vt:lpstr>Scenarios</vt:lpstr>
      <vt:lpstr>DCF</vt:lpstr>
      <vt:lpstr>Reverse DCF</vt:lpstr>
      <vt:lpstr>Monte Carlo</vt:lpstr>
      <vt:lpstr>Comps</vt:lpstr>
      <vt:lpstr>Multiples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cp:lastModifiedBy>
  <dcterms:created xsi:type="dcterms:W3CDTF">2026-04-21T01:00:28Z</dcterms:created>
  <dcterms:modified xsi:type="dcterms:W3CDTF">2026-04-21T01:12:12Z</dcterms:modified>
</cp:coreProperties>
</file>