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sheetId="1" state="visible" r:id="rId1"/>
    <sheet xmlns:r="http://schemas.openxmlformats.org/officeDocument/2006/relationships" name="Drivers" sheetId="2" state="visible" r:id="rId2"/>
    <sheet xmlns:r="http://schemas.openxmlformats.org/officeDocument/2006/relationships" name="Scenarios" sheetId="3" state="visible" r:id="rId3"/>
    <sheet xmlns:r="http://schemas.openxmlformats.org/officeDocument/2006/relationships" name="DCF" sheetId="4" state="visible" r:id="rId4"/>
    <sheet xmlns:r="http://schemas.openxmlformats.org/officeDocument/2006/relationships" name="Reverse DCF" sheetId="5" state="visible" r:id="rId5"/>
    <sheet xmlns:r="http://schemas.openxmlformats.org/officeDocument/2006/relationships" name="Monte Carlo" sheetId="6" state="visible" r:id="rId6"/>
    <sheet xmlns:r="http://schemas.openxmlformats.org/officeDocument/2006/relationships" name="Comps" sheetId="7" state="visible" r:id="rId7"/>
    <sheet xmlns:r="http://schemas.openxmlformats.org/officeDocument/2006/relationships" name="Multiples" sheetId="8" state="visible" r:id="rId8"/>
    <sheet xmlns:r="http://schemas.openxmlformats.org/officeDocument/2006/relationships" name="Hyperscaler" sheetId="9" state="visible" r:id="rId9"/>
    <sheet xmlns:r="http://schemas.openxmlformats.org/officeDocument/2006/relationships" name="Runway &amp; Dilution" sheetId="10" state="visible" r:id="rId10"/>
  </sheets>
  <definedNames/>
  <calcPr calcId="124519" fullCalcOnLoad="1"/>
</workbook>
</file>

<file path=xl/styles.xml><?xml version="1.0" encoding="utf-8"?>
<styleSheet xmlns="http://schemas.openxmlformats.org/spreadsheetml/2006/main">
  <numFmts count="7">
    <numFmt numFmtId="164" formatCode="$#,##0.00"/>
    <numFmt numFmtId="165" formatCode="0.0%"/>
    <numFmt numFmtId="166" formatCode="+0.0%;-0.0%"/>
    <numFmt numFmtId="167" formatCode="+0.00%;-0.00%"/>
    <numFmt numFmtId="168" formatCode="#,##0.0"/>
    <numFmt numFmtId="169" formatCode="0.0&quot;x&quot;"/>
    <numFmt numFmtId="170" formatCode="0.00&quot;x&quot;"/>
  </numFmts>
  <fonts count="44">
    <font>
      <name val="Calibri"/>
      <family val="2"/>
      <color theme="1"/>
      <sz val="11"/>
      <scheme val="minor"/>
    </font>
    <font>
      <b val="1"/>
      <sz val="11"/>
    </font>
    <font>
      <i val="1"/>
      <color rgb="00888888"/>
    </font>
    <font>
      <b val="1"/>
      <color rgb="009C5700"/>
      <sz val="10"/>
    </font>
    <font>
      <b val="1"/>
      <color rgb="00FFFFFF"/>
      <sz val="11"/>
    </font>
    <font>
      <b val="1"/>
    </font>
    <font>
      <i val="1"/>
      <color rgb="00888888"/>
      <sz val="9"/>
    </font>
    <font>
      <i val="1"/>
    </font>
    <font>
      <b val="1"/>
      <sz val="10"/>
    </font>
    <font>
      <color rgb="00666666"/>
      <sz val="9"/>
    </font>
    <font>
      <b val="1"/>
      <sz val="13"/>
    </font>
    <font>
      <i val="1"/>
      <color rgb="00666666"/>
      <sz val="9"/>
    </font>
    <font>
      <b val="1"/>
      <sz val="9"/>
    </font>
    <font>
      <i val="1"/>
      <sz val="10"/>
    </font>
    <font>
      <sz val="10"/>
    </font>
    <font>
      <b val="1"/>
      <color rgb="00FFFFFF"/>
    </font>
    <font>
      <b val="1"/>
      <color rgb="00375623"/>
    </font>
    <font>
      <b val="1"/>
      <color rgb="001F4E79"/>
      <sz val="11"/>
    </font>
    <font>
      <i val="1"/>
      <color rgb="00808080"/>
    </font>
    <font>
      <i val="1"/>
      <color rgb="00666666"/>
    </font>
    <font>
      <b val="1"/>
      <sz val="12"/>
    </font>
    <font>
      <b val="1"/>
      <color rgb="009C0006"/>
    </font>
    <font>
      <i val="1"/>
      <color rgb="009C0006"/>
      <sz val="9"/>
    </font>
    <font>
      <b val="1"/>
      <color rgb="00660000"/>
      <sz val="11"/>
    </font>
    <font>
      <color rgb="009C0006"/>
    </font>
    <font>
      <color rgb="00006100"/>
    </font>
    <font>
      <name val="Consolas"/>
      <sz val="9"/>
    </font>
    <font>
      <name val="Consolas"/>
      <color rgb="004472C4"/>
      <sz val="9"/>
    </font>
    <font>
      <name val="Consolas"/>
      <color rgb="00666666"/>
      <sz val="9"/>
    </font>
    <font>
      <i val="1"/>
      <color rgb="00666666"/>
      <sz val="10"/>
    </font>
    <font>
      <b val="1"/>
      <sz val="14"/>
    </font>
    <font>
      <i val="1"/>
      <color rgb="00006600"/>
    </font>
    <font>
      <color rgb="00CC0000"/>
    </font>
    <font>
      <i val="1"/>
      <color rgb="00808080"/>
      <sz val="9"/>
    </font>
    <font>
      <i val="1"/>
      <sz val="9"/>
    </font>
    <font>
      <i val="1"/>
      <color rgb="00333333"/>
    </font>
    <font>
      <color rgb="004472C4"/>
      <sz val="8"/>
    </font>
    <font>
      <b val="1"/>
      <color rgb="00CC0000"/>
    </font>
    <font>
      <i val="1"/>
      <color rgb="00444444"/>
      <sz val="9"/>
    </font>
    <font>
      <sz val="9"/>
    </font>
    <font>
      <b val="1"/>
      <color rgb="00404040"/>
      <sz val="10"/>
    </font>
    <font>
      <color rgb="00CC6600"/>
    </font>
    <font>
      <color rgb="000563C1"/>
      <sz val="10"/>
      <u val="single"/>
    </font>
    <font/>
  </fonts>
  <fills count="15">
    <fill>
      <patternFill/>
    </fill>
    <fill>
      <patternFill patternType="gray125"/>
    </fill>
    <fill>
      <patternFill patternType="solid">
        <fgColor rgb="00FFF2CC"/>
        <bgColor rgb="00FFF2CC"/>
      </patternFill>
    </fill>
    <fill>
      <patternFill patternType="solid">
        <fgColor rgb="001F4E79"/>
        <bgColor rgb="001F4E79"/>
      </patternFill>
    </fill>
    <fill>
      <patternFill patternType="solid">
        <fgColor rgb="00BF8F00"/>
        <bgColor rgb="00BF8F00"/>
      </patternFill>
    </fill>
    <fill>
      <patternFill patternType="solid">
        <fgColor rgb="00D6E4F0"/>
        <bgColor rgb="00D6E4F0"/>
      </patternFill>
    </fill>
    <fill>
      <patternFill patternType="solid">
        <fgColor rgb="00548235"/>
        <bgColor rgb="00548235"/>
      </patternFill>
    </fill>
    <fill>
      <patternFill patternType="solid">
        <fgColor rgb="00E2EFDA"/>
        <bgColor rgb="00E2EFDA"/>
      </patternFill>
    </fill>
    <fill>
      <patternFill patternType="solid">
        <fgColor rgb="00F8CECC"/>
        <bgColor rgb="00F8CECC"/>
      </patternFill>
    </fill>
    <fill>
      <patternFill patternType="solid">
        <fgColor rgb="00DAE8FC"/>
        <bgColor rgb="00DAE8FC"/>
      </patternFill>
    </fill>
    <fill>
      <patternFill patternType="solid">
        <fgColor rgb="00D5E8D4"/>
        <bgColor rgb="00D5E8D4"/>
      </patternFill>
    </fill>
    <fill>
      <patternFill patternType="solid">
        <fgColor rgb="00DAEEF3"/>
        <bgColor rgb="00DAEEF3"/>
      </patternFill>
    </fill>
    <fill>
      <patternFill patternType="solid">
        <fgColor rgb="00DAE8FC"/>
      </patternFill>
    </fill>
    <fill>
      <patternFill patternType="solid">
        <fgColor rgb="00EEEEEE"/>
      </patternFill>
    </fill>
    <fill>
      <patternFill patternType="solid">
        <fgColor rgb="00FFF2CC"/>
      </patternFill>
    </fill>
  </fills>
  <borders count="3">
    <border>
      <left/>
      <right/>
      <top/>
      <bottom/>
      <diagonal/>
    </border>
    <border>
      <bottom style="thin">
        <color rgb="00D9D9D9"/>
      </bottom>
    </border>
    <border>
      <bottom style="thin">
        <color rgb="00CCCCCC"/>
      </bottom>
    </border>
  </borders>
  <cellStyleXfs count="1">
    <xf numFmtId="0" fontId="0" fillId="0" borderId="0"/>
  </cellStyleXfs>
  <cellXfs count="176">
    <xf numFmtId="0" fontId="0" fillId="0" borderId="0" pivotButton="0" quotePrefix="0" xfId="0"/>
    <xf numFmtId="0" fontId="1" fillId="0" borderId="0" pivotButton="0" quotePrefix="0" xfId="0"/>
    <xf numFmtId="0" fontId="3" fillId="2" borderId="0" applyAlignment="1" pivotButton="0" quotePrefix="0" xfId="0">
      <alignment horizontal="left" vertical="center" wrapText="1"/>
    </xf>
    <xf numFmtId="0" fontId="40" fillId="0" borderId="0" applyAlignment="1" pivotButton="0" quotePrefix="0" xfId="0">
      <alignment horizontal="left"/>
    </xf>
    <xf numFmtId="0" fontId="2" fillId="0" borderId="0" pivotButton="0" quotePrefix="0" xfId="0"/>
    <xf numFmtId="0" fontId="33" fillId="0" borderId="0" applyAlignment="1" pivotButton="0" quotePrefix="0" xfId="0">
      <alignment horizontal="left"/>
    </xf>
    <xf numFmtId="0" fontId="4" fillId="3" borderId="0" applyAlignment="1" pivotButton="0" quotePrefix="0" xfId="0">
      <alignment horizontal="center"/>
    </xf>
    <xf numFmtId="0" fontId="4" fillId="4" borderId="0" applyAlignment="1" pivotButton="0" quotePrefix="0" xfId="0">
      <alignment horizontal="center"/>
    </xf>
    <xf numFmtId="0" fontId="5" fillId="0" borderId="0" pivotButton="0" quotePrefix="0" xfId="0"/>
    <xf numFmtId="3" fontId="0" fillId="0" borderId="1" applyAlignment="1" pivotButton="0" quotePrefix="0" xfId="0">
      <alignment horizontal="right"/>
    </xf>
    <xf numFmtId="3" fontId="0" fillId="2" borderId="1" applyAlignment="1" pivotButton="0" quotePrefix="0" xfId="0">
      <alignment horizontal="right"/>
    </xf>
    <xf numFmtId="164" fontId="0" fillId="0" borderId="1" applyAlignment="1" pivotButton="0" quotePrefix="0" xfId="0">
      <alignment horizontal="right"/>
    </xf>
    <xf numFmtId="164" fontId="0" fillId="2" borderId="1" applyAlignment="1" pivotButton="0" quotePrefix="0" xfId="0">
      <alignment horizontal="right"/>
    </xf>
    <xf numFmtId="165" fontId="0" fillId="0" borderId="1" applyAlignment="1" pivotButton="0" quotePrefix="0" xfId="0">
      <alignment horizontal="right"/>
    </xf>
    <xf numFmtId="165" fontId="0" fillId="2" borderId="1" applyAlignment="1" pivotButton="0" quotePrefix="0" xfId="0">
      <alignment horizontal="right"/>
    </xf>
    <xf numFmtId="0" fontId="17" fillId="0" borderId="0" pivotButton="0" quotePrefix="0" xfId="0"/>
    <xf numFmtId="3" fontId="0" fillId="0" borderId="0" applyAlignment="1" pivotButton="0" quotePrefix="0" xfId="0">
      <alignment horizontal="right"/>
    </xf>
    <xf numFmtId="3" fontId="0" fillId="2" borderId="0" applyAlignment="1" pivotButton="0" quotePrefix="0" xfId="0">
      <alignment horizontal="right"/>
    </xf>
    <xf numFmtId="164" fontId="0" fillId="0" borderId="0" applyAlignment="1" pivotButton="0" quotePrefix="0" xfId="0">
      <alignment horizontal="right"/>
    </xf>
    <xf numFmtId="164" fontId="0" fillId="2" borderId="0" applyAlignment="1" pivotButton="0" quotePrefix="0" xfId="0">
      <alignment horizontal="right"/>
    </xf>
    <xf numFmtId="165" fontId="0" fillId="0" borderId="0" applyAlignment="1" pivotButton="0" quotePrefix="0" xfId="0">
      <alignment horizontal="right"/>
    </xf>
    <xf numFmtId="165" fontId="0" fillId="2" borderId="0" applyAlignment="1" pivotButton="0" quotePrefix="0" xfId="0">
      <alignment horizontal="right"/>
    </xf>
    <xf numFmtId="0" fontId="6" fillId="0" borderId="0" pivotButton="0" quotePrefix="0" xfId="0"/>
    <xf numFmtId="0" fontId="4" fillId="6" borderId="0" applyAlignment="1" pivotButton="0" quotePrefix="0" xfId="0">
      <alignment horizontal="center"/>
    </xf>
    <xf numFmtId="0" fontId="7" fillId="0" borderId="0" pivotButton="0" quotePrefix="0" xfId="0"/>
    <xf numFmtId="3" fontId="5" fillId="7" borderId="1" applyAlignment="1" pivotButton="0" quotePrefix="0" xfId="0">
      <alignment horizontal="right"/>
    </xf>
    <xf numFmtId="3" fontId="5" fillId="5" borderId="1" applyAlignment="1" pivotButton="0" quotePrefix="0" xfId="0">
      <alignment horizontal="right"/>
    </xf>
    <xf numFmtId="0" fontId="4" fillId="3" borderId="0" pivotButton="0" quotePrefix="0" xfId="0"/>
    <xf numFmtId="3" fontId="4" fillId="3" borderId="1" applyAlignment="1" pivotButton="0" quotePrefix="0" xfId="0">
      <alignment horizontal="right"/>
    </xf>
    <xf numFmtId="3" fontId="4" fillId="6" borderId="1" applyAlignment="1" pivotButton="0" quotePrefix="0" xfId="0">
      <alignment horizontal="right"/>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0" fillId="3" borderId="0" pivotButton="0" quotePrefix="0" xfId="0"/>
    <xf numFmtId="0" fontId="12" fillId="8" borderId="0" applyAlignment="1" pivotButton="0" quotePrefix="0" xfId="0">
      <alignment horizontal="center"/>
    </xf>
    <xf numFmtId="0" fontId="12" fillId="9" borderId="0" applyAlignment="1" pivotButton="0" quotePrefix="0" xfId="0">
      <alignment horizontal="center"/>
    </xf>
    <xf numFmtId="0" fontId="12" fillId="10" borderId="0" applyAlignment="1" pivotButton="0" quotePrefix="0" xfId="0">
      <alignment horizontal="center"/>
    </xf>
    <xf numFmtId="0" fontId="13" fillId="0" borderId="0" pivotButton="0" quotePrefix="0" xfId="0"/>
    <xf numFmtId="3" fontId="0" fillId="2" borderId="0" pivotButton="0" quotePrefix="0" xfId="0"/>
    <xf numFmtId="3" fontId="5" fillId="5" borderId="0" pivotButton="0" quotePrefix="0" xfId="0"/>
    <xf numFmtId="0" fontId="14" fillId="0" borderId="0" pivotButton="0" quotePrefix="0" xfId="0"/>
    <xf numFmtId="0" fontId="15" fillId="3" borderId="0" pivotButton="0" quotePrefix="0" xfId="0"/>
    <xf numFmtId="3" fontId="15" fillId="3" borderId="0" pivotButton="0" quotePrefix="0" xfId="0"/>
    <xf numFmtId="0" fontId="1" fillId="9" borderId="0" pivotButton="0" quotePrefix="0" xfId="0"/>
    <xf numFmtId="0" fontId="0" fillId="9" borderId="0" pivotButton="0" quotePrefix="0" xfId="0"/>
    <xf numFmtId="0" fontId="0" fillId="2" borderId="0" applyAlignment="1" pivotButton="0" quotePrefix="0" xfId="0">
      <alignment wrapText="1"/>
    </xf>
    <xf numFmtId="165" fontId="0" fillId="2" borderId="0" pivotButton="0" quotePrefix="0" xfId="0"/>
    <xf numFmtId="0" fontId="18" fillId="0" borderId="0" pivotButton="0" quotePrefix="0" xfId="0"/>
    <xf numFmtId="165" fontId="0" fillId="0" borderId="0" pivotButton="0" quotePrefix="0" xfId="0"/>
    <xf numFmtId="2" fontId="0" fillId="0" borderId="0" pivotButton="0" quotePrefix="0" xfId="0"/>
    <xf numFmtId="3" fontId="0" fillId="0" borderId="0" pivotButton="0" quotePrefix="0" xfId="0"/>
    <xf numFmtId="165" fontId="19" fillId="0" borderId="0" pivotButton="0" quotePrefix="0" xfId="0"/>
    <xf numFmtId="164" fontId="20" fillId="10" borderId="0" pivotButton="0" quotePrefix="0" xfId="0"/>
    <xf numFmtId="164" fontId="0" fillId="0" borderId="0" pivotButton="0" quotePrefix="0" xfId="0"/>
    <xf numFmtId="165" fontId="5" fillId="10" borderId="0" pivotButton="0" quotePrefix="0" xfId="0"/>
    <xf numFmtId="0" fontId="20" fillId="0" borderId="0" pivotButton="0" quotePrefix="0" xfId="0"/>
    <xf numFmtId="0" fontId="1" fillId="8" borderId="0" pivotButton="0" quotePrefix="0" xfId="0"/>
    <xf numFmtId="0" fontId="1" fillId="11" borderId="0" pivotButton="0" quotePrefix="0" xfId="0"/>
    <xf numFmtId="0" fontId="1" fillId="10" borderId="0" pivotButton="0" quotePrefix="0" xfId="0"/>
    <xf numFmtId="164" fontId="20" fillId="8" borderId="0" pivotButton="0" quotePrefix="0" xfId="0"/>
    <xf numFmtId="164" fontId="20" fillId="11" borderId="0" pivotButton="0" quotePrefix="0" xfId="0"/>
    <xf numFmtId="166" fontId="5" fillId="8" borderId="0" pivotButton="0" quotePrefix="0" xfId="0"/>
    <xf numFmtId="166" fontId="5" fillId="11" borderId="0" pivotButton="0" quotePrefix="0" xfId="0"/>
    <xf numFmtId="166" fontId="5" fillId="10" borderId="0" pivotButton="0" quotePrefix="0" xfId="0"/>
    <xf numFmtId="165" fontId="21" fillId="8" borderId="0" pivotButton="0" quotePrefix="0" xfId="0"/>
    <xf numFmtId="0" fontId="22" fillId="0" borderId="0" pivotButton="0" quotePrefix="0" xfId="0"/>
    <xf numFmtId="0" fontId="23" fillId="0" borderId="0" pivotButton="0" quotePrefix="0" xfId="0"/>
    <xf numFmtId="164" fontId="20" fillId="2" borderId="0" pivotButton="0" quotePrefix="0" xfId="0"/>
    <xf numFmtId="166" fontId="5" fillId="2" borderId="0" pivotButton="0" quotePrefix="0" xfId="0"/>
    <xf numFmtId="165" fontId="8" fillId="11" borderId="0" pivotButton="0" quotePrefix="0" xfId="0"/>
    <xf numFmtId="164" fontId="5" fillId="10" borderId="0" pivotButton="0" quotePrefix="0" xfId="0"/>
    <xf numFmtId="0" fontId="29" fillId="0" borderId="0" pivotButton="0" quotePrefix="0" xfId="0"/>
    <xf numFmtId="165" fontId="30" fillId="10" borderId="0" pivotButton="0" quotePrefix="0" xfId="0"/>
    <xf numFmtId="165" fontId="0" fillId="11" borderId="0" pivotButton="0" quotePrefix="0" xfId="0"/>
    <xf numFmtId="0" fontId="31" fillId="0" borderId="0" pivotButton="0" quotePrefix="0" xfId="0"/>
    <xf numFmtId="0" fontId="32" fillId="0" borderId="0" pivotButton="0" quotePrefix="0" xfId="0"/>
    <xf numFmtId="3" fontId="5" fillId="8" borderId="0" pivotButton="0" quotePrefix="0" xfId="0"/>
    <xf numFmtId="0" fontId="19" fillId="0" borderId="0" pivotButton="0" quotePrefix="0" xfId="0"/>
    <xf numFmtId="165" fontId="5" fillId="8" borderId="0" pivotButton="0" quotePrefix="0" xfId="0"/>
    <xf numFmtId="0" fontId="33" fillId="0" borderId="0" pivotButton="0" quotePrefix="0" xfId="0"/>
    <xf numFmtId="0" fontId="34" fillId="0" borderId="0" pivotButton="0" quotePrefix="0" xfId="0"/>
    <xf numFmtId="165" fontId="1" fillId="0" borderId="0" pivotButton="0" quotePrefix="0" xfId="0"/>
    <xf numFmtId="165" fontId="0" fillId="8" borderId="0" pivotButton="0" quotePrefix="0" xfId="0"/>
    <xf numFmtId="0" fontId="35" fillId="0" borderId="0" pivotButton="0" quotePrefix="0" xfId="0"/>
    <xf numFmtId="167" fontId="0" fillId="0" borderId="0" pivotButton="0" quotePrefix="0" xfId="0"/>
    <xf numFmtId="164" fontId="1" fillId="0" borderId="0" pivotButton="0" quotePrefix="0" xfId="0"/>
    <xf numFmtId="0" fontId="8" fillId="0" borderId="2" pivotButton="0" quotePrefix="0" xfId="0"/>
    <xf numFmtId="166" fontId="24" fillId="0" borderId="0" pivotButton="0" quotePrefix="0" xfId="0"/>
    <xf numFmtId="164" fontId="1" fillId="10" borderId="0" pivotButton="0" quotePrefix="0" xfId="0"/>
    <xf numFmtId="166" fontId="25" fillId="0" borderId="0" pivotButton="0" quotePrefix="0" xfId="0"/>
    <xf numFmtId="165" fontId="20" fillId="8" borderId="0" pivotButton="0" quotePrefix="0" xfId="0"/>
    <xf numFmtId="164" fontId="5" fillId="8" borderId="0" pivotButton="0" quotePrefix="0" xfId="0"/>
    <xf numFmtId="164" fontId="5" fillId="9" borderId="0" pivotButton="0" quotePrefix="0" xfId="0"/>
    <xf numFmtId="0" fontId="26" fillId="0" borderId="0" pivotButton="0" quotePrefix="0" xfId="0"/>
    <xf numFmtId="0" fontId="27" fillId="0" borderId="0" pivotButton="0" quotePrefix="0" xfId="0"/>
    <xf numFmtId="0" fontId="28" fillId="0" borderId="0" pivotButton="0" quotePrefix="0" xfId="0"/>
    <xf numFmtId="168" fontId="0" fillId="0" borderId="0" pivotButton="0" quotePrefix="0" xfId="0"/>
    <xf numFmtId="169" fontId="0" fillId="0" borderId="0" pivotButton="0" quotePrefix="0" xfId="0"/>
    <xf numFmtId="169" fontId="5" fillId="11" borderId="0" pivotButton="0" quotePrefix="0" xfId="0"/>
    <xf numFmtId="2" fontId="5" fillId="11" borderId="0" pivotButton="0" quotePrefix="0" xfId="0"/>
    <xf numFmtId="165" fontId="5" fillId="11" borderId="0" pivotButton="0" quotePrefix="0" xfId="0"/>
    <xf numFmtId="170" fontId="0" fillId="0" borderId="0" pivotButton="0" quotePrefix="0" xfId="0"/>
    <xf numFmtId="0" fontId="36" fillId="0" borderId="0" pivotButton="0" quotePrefix="0" xfId="0"/>
    <xf numFmtId="0" fontId="37" fillId="0" borderId="0" pivotButton="0" quotePrefix="0" xfId="0"/>
    <xf numFmtId="0" fontId="38" fillId="0" borderId="0" applyAlignment="1" pivotButton="0" quotePrefix="0" xfId="0">
      <alignment vertical="top" wrapText="1"/>
    </xf>
    <xf numFmtId="169" fontId="0" fillId="2" borderId="0" pivotButton="0" quotePrefix="0" xfId="0"/>
    <xf numFmtId="164" fontId="0" fillId="10" borderId="0" pivotButton="0" quotePrefix="0" xfId="0"/>
    <xf numFmtId="164" fontId="5" fillId="0" borderId="0" pivotButton="0" quotePrefix="0" xfId="0"/>
    <xf numFmtId="165" fontId="0" fillId="10" borderId="0" pivotButton="0" quotePrefix="0" xfId="0"/>
    <xf numFmtId="0" fontId="5" fillId="10" borderId="0" pivotButton="0" quotePrefix="0" xfId="0"/>
    <xf numFmtId="0" fontId="39" fillId="8" borderId="0" applyAlignment="1" pivotButton="0" quotePrefix="0" xfId="0">
      <alignment vertical="top" wrapText="1"/>
    </xf>
    <xf numFmtId="0" fontId="10" fillId="0" borderId="0" applyAlignment="1" pivotButton="0" quotePrefix="0" xfId="0">
      <alignment vertical="top"/>
    </xf>
    <xf numFmtId="0" fontId="18" fillId="0" borderId="0" applyAlignment="1" pivotButton="0" quotePrefix="0" xfId="0">
      <alignment vertical="top"/>
    </xf>
    <xf numFmtId="0" fontId="0" fillId="0" borderId="0" applyAlignment="1" pivotButton="0" quotePrefix="0" xfId="0">
      <alignment vertical="top"/>
    </xf>
    <xf numFmtId="0" fontId="1" fillId="12" borderId="0" applyAlignment="1" pivotButton="0" quotePrefix="0" xfId="0">
      <alignment vertical="top"/>
    </xf>
    <xf numFmtId="4" fontId="0" fillId="0" borderId="0" pivotButton="0" quotePrefix="0" xfId="0"/>
    <xf numFmtId="0" fontId="20" fillId="0" borderId="0" applyAlignment="1" pivotButton="0" quotePrefix="0" xfId="0">
      <alignment vertical="top"/>
    </xf>
    <xf numFmtId="4" fontId="20" fillId="0" borderId="0" pivotButton="0" quotePrefix="0" xfId="0"/>
    <xf numFmtId="168" fontId="0" fillId="0" borderId="1" applyAlignment="1" pivotButton="0" quotePrefix="0" xfId="0">
      <alignment horizontal="right"/>
    </xf>
    <xf numFmtId="0" fontId="16" fillId="0" borderId="0" pivotButton="0" quotePrefix="0" xfId="0"/>
    <xf numFmtId="0" fontId="20" fillId="8" borderId="0" pivotButton="0" quotePrefix="0" xfId="0"/>
    <xf numFmtId="0" fontId="20" fillId="2" borderId="0" pivotButton="0" quotePrefix="0" xfId="0"/>
    <xf numFmtId="0" fontId="20" fillId="10" borderId="0" pivotButton="0" quotePrefix="0" xfId="0"/>
    <xf numFmtId="0" fontId="5" fillId="2" borderId="0" pivotButton="0" quotePrefix="0" xfId="0"/>
    <xf numFmtId="0" fontId="0" fillId="2" borderId="0" pivotButton="0" quotePrefix="0" xfId="0"/>
    <xf numFmtId="0" fontId="0" fillId="10" borderId="0" pivotButton="0" quotePrefix="0" xfId="0"/>
    <xf numFmtId="0" fontId="0" fillId="10" borderId="0" applyAlignment="1" pivotButton="0" quotePrefix="0" xfId="0">
      <alignment wrapText="1"/>
    </xf>
    <xf numFmtId="0" fontId="5" fillId="11" borderId="0" pivotButton="0" quotePrefix="0" xfId="0"/>
    <xf numFmtId="0" fontId="0" fillId="11" borderId="0" pivotButton="0" quotePrefix="0" xfId="0"/>
    <xf numFmtId="0" fontId="0" fillId="11" borderId="0" applyAlignment="1" pivotButton="0" quotePrefix="0" xfId="0">
      <alignment wrapText="1"/>
    </xf>
    <xf numFmtId="164" fontId="0" fillId="0" borderId="1" applyAlignment="1" pivotButton="0" quotePrefix="0" xfId="0">
      <alignment horizontal="right"/>
    </xf>
    <xf numFmtId="164" fontId="0" fillId="2" borderId="1" applyAlignment="1" pivotButton="0" quotePrefix="0" xfId="0">
      <alignment horizontal="right"/>
    </xf>
    <xf numFmtId="164" fontId="0" fillId="0" borderId="0" applyAlignment="1" pivotButton="0" quotePrefix="0" xfId="0">
      <alignment horizontal="right"/>
    </xf>
    <xf numFmtId="164" fontId="0" fillId="2" borderId="0" applyAlignment="1" pivotButton="0" quotePrefix="0" xfId="0">
      <alignment horizontal="right"/>
    </xf>
    <xf numFmtId="164" fontId="20" fillId="10" borderId="0" pivotButton="0" quotePrefix="0" xfId="0"/>
    <xf numFmtId="164" fontId="0" fillId="0" borderId="0" pivotButton="0" quotePrefix="0" xfId="0"/>
    <xf numFmtId="164" fontId="20" fillId="8" borderId="0" pivotButton="0" quotePrefix="0" xfId="0"/>
    <xf numFmtId="164" fontId="20" fillId="11" borderId="0" pivotButton="0" quotePrefix="0" xfId="0"/>
    <xf numFmtId="166" fontId="5" fillId="8" borderId="0" pivotButton="0" quotePrefix="0" xfId="0"/>
    <xf numFmtId="166" fontId="5" fillId="11" borderId="0" pivotButton="0" quotePrefix="0" xfId="0"/>
    <xf numFmtId="166" fontId="5" fillId="10" borderId="0" pivotButton="0" quotePrefix="0" xfId="0"/>
    <xf numFmtId="164" fontId="20" fillId="2" borderId="0" pivotButton="0" quotePrefix="0" xfId="0"/>
    <xf numFmtId="166" fontId="5" fillId="2" borderId="0" pivotButton="0" quotePrefix="0" xfId="0"/>
    <xf numFmtId="164" fontId="5" fillId="10" borderId="0" pivotButton="0" quotePrefix="0" xfId="0"/>
    <xf numFmtId="167" fontId="0" fillId="0" borderId="0" pivotButton="0" quotePrefix="0" xfId="0"/>
    <xf numFmtId="164" fontId="1" fillId="0" borderId="0" pivotButton="0" quotePrefix="0" xfId="0"/>
    <xf numFmtId="166" fontId="24" fillId="0" borderId="0" pivotButton="0" quotePrefix="0" xfId="0"/>
    <xf numFmtId="164" fontId="1" fillId="10" borderId="0" pivotButton="0" quotePrefix="0" xfId="0"/>
    <xf numFmtId="166" fontId="25" fillId="0" borderId="0" pivotButton="0" quotePrefix="0" xfId="0"/>
    <xf numFmtId="164" fontId="5" fillId="8" borderId="0" pivotButton="0" quotePrefix="0" xfId="0"/>
    <xf numFmtId="164" fontId="5" fillId="9" borderId="0" pivotButton="0" quotePrefix="0" xfId="0"/>
    <xf numFmtId="168" fontId="0" fillId="0" borderId="0" pivotButton="0" quotePrefix="0" xfId="0"/>
    <xf numFmtId="169" fontId="0" fillId="0" borderId="0" pivotButton="0" quotePrefix="0" xfId="0"/>
    <xf numFmtId="169" fontId="5" fillId="11" borderId="0" pivotButton="0" quotePrefix="0" xfId="0"/>
    <xf numFmtId="170" fontId="0" fillId="0" borderId="0" pivotButton="0" quotePrefix="0" xfId="0"/>
    <xf numFmtId="169" fontId="0" fillId="2" borderId="0" pivotButton="0" quotePrefix="0" xfId="0"/>
    <xf numFmtId="164" fontId="0" fillId="10" borderId="0" pivotButton="0" quotePrefix="0" xfId="0"/>
    <xf numFmtId="164" fontId="5" fillId="0" borderId="0" pivotButton="0" quotePrefix="0" xfId="0"/>
    <xf numFmtId="168" fontId="0" fillId="0" borderId="1" applyAlignment="1" pivotButton="0" quotePrefix="0" xfId="0">
      <alignment horizontal="right"/>
    </xf>
    <xf numFmtId="0" fontId="41" fillId="0" borderId="0" pivotButton="0" quotePrefix="0" xfId="0"/>
    <xf numFmtId="167" fontId="0" fillId="8" borderId="0" pivotButton="0" quotePrefix="0" xfId="0"/>
    <xf numFmtId="0" fontId="1" fillId="12" borderId="0" pivotButton="0" quotePrefix="0" xfId="0"/>
    <xf numFmtId="0" fontId="0" fillId="12" borderId="0" pivotButton="0" quotePrefix="0" xfId="0"/>
    <xf numFmtId="0" fontId="5" fillId="13" borderId="0" pivotButton="0" quotePrefix="0" xfId="0"/>
    <xf numFmtId="165" fontId="0" fillId="14" borderId="0" pivotButton="0" quotePrefix="0" xfId="0"/>
    <xf numFmtId="0" fontId="42" fillId="0" borderId="0" pivotButton="0" quotePrefix="0" xfId="0"/>
    <xf numFmtId="3" fontId="5" fillId="0" borderId="0" pivotButton="0" quotePrefix="0" xfId="0"/>
    <xf numFmtId="166" fontId="0" fillId="0" borderId="0" pivotButton="0" quotePrefix="0" xfId="0"/>
    <xf numFmtId="3" fontId="5" fillId="13" borderId="0" pivotButton="0" quotePrefix="0" xfId="0"/>
    <xf numFmtId="166" fontId="5" fillId="13" borderId="0" pivotButton="0" quotePrefix="0" xfId="0"/>
    <xf numFmtId="165" fontId="5" fillId="13" borderId="0" pivotButton="0" quotePrefix="0" xfId="0"/>
    <xf numFmtId="0" fontId="43" fillId="0" borderId="0" pivotButton="0" quotePrefix="0" xfId="0"/>
    <xf numFmtId="165" fontId="5" fillId="14" borderId="0" pivotButton="0" quotePrefix="0" xfId="0"/>
    <xf numFmtId="165" fontId="5" fillId="0" borderId="0" pivotButton="0" quotePrefix="0" xfId="0"/>
    <xf numFmtId="0" fontId="1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hyperlink" Target="https://www.sec.gov/Archives/edgar/data/789019/000119312526191457/msft-20260429.htm" TargetMode="External" Id="rId1"/><Relationship Type="http://schemas.openxmlformats.org/officeDocument/2006/relationships/hyperlink" Target="https://www.sec.gov/Archives/edgar/data/1326801/000162828026028364/meta-20260429.htm" TargetMode="External" Id="rId2"/><Relationship Type="http://schemas.openxmlformats.org/officeDocument/2006/relationships/hyperlink" Target="https://www.sec.gov/Archives/edgar/data/1652044/000165204426000043/goog-20260429.htm" TargetMode="External" Id="rId3"/><Relationship Type="http://schemas.openxmlformats.org/officeDocument/2006/relationships/hyperlink" Target="https://www.sec.gov/Archives/edgar/data/1018724/000101872426000012/amzn-20260429.htm" TargetMode="External" Id="rId4"/><Relationship Type="http://schemas.openxmlformats.org/officeDocument/2006/relationships/hyperlink" Target="https://www.sec.gov/Archives/edgar/data/1341439/000119312526100148/orcl-20260310.htm" TargetMode="External" Id="rId5"/></Relationships>
</file>

<file path=xl/worksheets/sheet1.xml><?xml version="1.0" encoding="utf-8"?>
<worksheet xmlns="http://schemas.openxmlformats.org/spreadsheetml/2006/main">
  <sheetPr>
    <outlinePr summaryBelow="1" summaryRight="1"/>
    <pageSetUpPr/>
  </sheetPr>
  <dimension ref="A1:V56"/>
  <sheetViews>
    <sheetView workbookViewId="0">
      <pane xSplit="1" topLeftCell="B1" activePane="topRight" state="frozen"/>
      <selection pane="top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30" customWidth="1" min="22" max="22"/>
  </cols>
  <sheetData>
    <row r="1" ht="32" customHeight="1">
      <c r="A1" s="1" t="inlineStr">
        <is>
          <t>NVIDIA CORP</t>
        </is>
      </c>
      <c r="C1" s="2" t="n"/>
      <c r="V1" s="3" t="n"/>
    </row>
    <row r="2">
      <c r="A2" s="4" t="inlineStr">
        <is>
          <t>Financial Model (values in $Ms)</t>
        </is>
      </c>
      <c r="V2" s="5" t="n"/>
    </row>
    <row r="3">
      <c r="B3" s="6" t="inlineStr">
        <is>
          <t>Q325</t>
        </is>
      </c>
      <c r="C3" s="6" t="inlineStr">
        <is>
          <t>Q425</t>
        </is>
      </c>
      <c r="D3" s="6" t="inlineStr">
        <is>
          <t>Q126</t>
        </is>
      </c>
      <c r="E3" s="6" t="inlineStr">
        <is>
          <t>Q226</t>
        </is>
      </c>
      <c r="F3" s="6" t="inlineStr">
        <is>
          <t>Q326</t>
        </is>
      </c>
      <c r="G3" s="6" t="inlineStr">
        <is>
          <t>Q426</t>
        </is>
      </c>
      <c r="H3" s="6" t="inlineStr">
        <is>
          <t>Q127</t>
        </is>
      </c>
      <c r="I3" s="6" t="inlineStr">
        <is>
          <t>Q227</t>
        </is>
      </c>
      <c r="J3" s="7" t="inlineStr">
        <is>
          <t>Q327</t>
        </is>
      </c>
      <c r="K3" s="7" t="inlineStr">
        <is>
          <t>Q427</t>
        </is>
      </c>
      <c r="L3" s="7" t="inlineStr">
        <is>
          <t>Q128</t>
        </is>
      </c>
      <c r="M3" s="7" t="inlineStr">
        <is>
          <t>Q228</t>
        </is>
      </c>
      <c r="N3" s="7" t="inlineStr">
        <is>
          <t>Q328</t>
        </is>
      </c>
      <c r="O3" s="7" t="inlineStr">
        <is>
          <t>Q428</t>
        </is>
      </c>
      <c r="P3" s="7" t="inlineStr">
        <is>
          <t>Q129</t>
        </is>
      </c>
      <c r="Q3" s="7" t="inlineStr">
        <is>
          <t>Q229</t>
        </is>
      </c>
      <c r="R3" s="7" t="inlineStr">
        <is>
          <t>Q329</t>
        </is>
      </c>
      <c r="S3" s="7" t="inlineStr">
        <is>
          <t>Q429</t>
        </is>
      </c>
      <c r="V3" s="5" t="n"/>
    </row>
    <row r="4">
      <c r="A4" s="8" t="inlineStr">
        <is>
          <t>Revenue</t>
        </is>
      </c>
      <c r="B4" s="9" t="n">
        <v>35082</v>
      </c>
      <c r="C4" s="9" t="n">
        <v>39331</v>
      </c>
      <c r="D4" s="9" t="n">
        <v>44062</v>
      </c>
      <c r="E4" s="9" t="n">
        <v>46743</v>
      </c>
      <c r="F4" s="9" t="n">
        <v>57006</v>
      </c>
      <c r="G4" s="9" t="n">
        <v>68127</v>
      </c>
      <c r="H4" s="9" t="n">
        <v>81615</v>
      </c>
      <c r="I4" s="9" t="n">
        <v>96221</v>
      </c>
      <c r="J4" s="10">
        <f>IF(Drivers!J15&lt;&gt;0,Drivers!J15,F4*(1+0.4000))</f>
        <v/>
      </c>
      <c r="K4" s="10">
        <f>IF(Drivers!K15&lt;&gt;0,Drivers!K15,G4*(1+0.3970))</f>
        <v/>
      </c>
      <c r="L4" s="10">
        <f>IF(Drivers!L15&lt;&gt;0,Drivers!L15,H4*(1+0.3884))</f>
        <v/>
      </c>
      <c r="M4" s="10">
        <f>IF(Drivers!M15&lt;&gt;0,Drivers!M15,I4*(1+0.3749))</f>
        <v/>
      </c>
      <c r="N4" s="10">
        <f>IF(Drivers!N15&lt;&gt;0,Drivers!N15,J4*(1+0.3571))</f>
        <v/>
      </c>
      <c r="O4" s="10">
        <f>IF(Drivers!O15&lt;&gt;0,Drivers!O15,K4*(1+0.3358))</f>
        <v/>
      </c>
      <c r="P4" s="10">
        <f>IF(Drivers!P15&lt;&gt;0,Drivers!P15,L4*(1+0.3114))</f>
        <v/>
      </c>
      <c r="Q4" s="10">
        <f>IF(Drivers!Q15&lt;&gt;0,Drivers!Q15,M4*(1+0.2848))</f>
        <v/>
      </c>
      <c r="R4" s="10">
        <f>IF(Drivers!R15&lt;&gt;0,Drivers!R15,N4*(1+0.2565))</f>
        <v/>
      </c>
      <c r="S4" s="10">
        <f>IF(Drivers!S15&lt;&gt;0,Drivers!S15,O4*(1+0.2273))</f>
        <v/>
      </c>
      <c r="V4" s="5" t="n"/>
    </row>
    <row r="5">
      <c r="A5" s="8" t="inlineStr">
        <is>
          <t>COGS</t>
        </is>
      </c>
      <c r="B5" s="9" t="n">
        <v>8926</v>
      </c>
      <c r="C5" s="9" t="n">
        <v>10608</v>
      </c>
      <c r="D5" s="9" t="n">
        <v>17394</v>
      </c>
      <c r="E5" s="9" t="n">
        <v>12890</v>
      </c>
      <c r="F5" s="9" t="n">
        <v>15157</v>
      </c>
      <c r="G5" s="9" t="n">
        <v>17034</v>
      </c>
      <c r="H5" s="9" t="n">
        <v>20458</v>
      </c>
      <c r="I5" s="9" t="n">
        <v>24079</v>
      </c>
      <c r="J5" s="10">
        <f>J4*0.2600</f>
        <v/>
      </c>
      <c r="K5" s="10">
        <f>K4*0.2593</f>
        <v/>
      </c>
      <c r="L5" s="10">
        <f>L4*0.2593</f>
        <v/>
      </c>
      <c r="M5" s="10">
        <f>M4*0.2593</f>
        <v/>
      </c>
      <c r="N5" s="10">
        <f>N4*0.2593</f>
        <v/>
      </c>
      <c r="O5" s="10">
        <f>O4*0.2593</f>
        <v/>
      </c>
      <c r="P5" s="10">
        <f>P4*0.2593</f>
        <v/>
      </c>
      <c r="Q5" s="10">
        <f>Q4*0.2593</f>
        <v/>
      </c>
      <c r="R5" s="10">
        <f>R4*0.2593</f>
        <v/>
      </c>
      <c r="S5" s="10">
        <f>S4*0.2593</f>
        <v/>
      </c>
    </row>
    <row r="6">
      <c r="A6" s="8" t="inlineStr">
        <is>
          <t>Gross Profit</t>
        </is>
      </c>
      <c r="B6" s="9">
        <f>B4-B5</f>
        <v/>
      </c>
      <c r="C6" s="9">
        <f>C4-C5</f>
        <v/>
      </c>
      <c r="D6" s="9">
        <f>D4-D5</f>
        <v/>
      </c>
      <c r="E6" s="9">
        <f>E4-E5</f>
        <v/>
      </c>
      <c r="F6" s="9">
        <f>F4-F5</f>
        <v/>
      </c>
      <c r="G6" s="9">
        <f>G4-G5</f>
        <v/>
      </c>
      <c r="H6" s="9">
        <f>H4-H5</f>
        <v/>
      </c>
      <c r="I6" s="9">
        <f>I4-I5</f>
        <v/>
      </c>
      <c r="J6" s="10">
        <f>J4-J5</f>
        <v/>
      </c>
      <c r="K6" s="10">
        <f>K4-K5</f>
        <v/>
      </c>
      <c r="L6" s="10">
        <f>L4-L5</f>
        <v/>
      </c>
      <c r="M6" s="10">
        <f>M4-M5</f>
        <v/>
      </c>
      <c r="N6" s="10">
        <f>N4-N5</f>
        <v/>
      </c>
      <c r="O6" s="10">
        <f>O4-O5</f>
        <v/>
      </c>
      <c r="P6" s="10">
        <f>P4-P5</f>
        <v/>
      </c>
      <c r="Q6" s="10">
        <f>Q4-Q5</f>
        <v/>
      </c>
      <c r="R6" s="10">
        <f>R4-R5</f>
        <v/>
      </c>
      <c r="S6" s="10">
        <f>S4-S5</f>
        <v/>
      </c>
    </row>
    <row r="7">
      <c r="A7" s="8" t="inlineStr">
        <is>
          <t>S&amp;M</t>
        </is>
      </c>
    </row>
    <row r="8">
      <c r="A8" s="8" t="inlineStr">
        <is>
          <t>R&amp;D</t>
        </is>
      </c>
      <c r="B8" s="9" t="n">
        <v>3390</v>
      </c>
      <c r="C8" s="9" t="n">
        <v>3714</v>
      </c>
      <c r="D8" s="9" t="n">
        <v>3989</v>
      </c>
      <c r="E8" s="9" t="n">
        <v>4291</v>
      </c>
      <c r="F8" s="9" t="n">
        <v>4705</v>
      </c>
      <c r="G8" s="9" t="n">
        <v>5512</v>
      </c>
      <c r="H8" s="9" t="n">
        <v>6321</v>
      </c>
      <c r="I8" s="9" t="n">
        <v>7054</v>
      </c>
      <c r="J8" s="10">
        <f>J4*0.0801</f>
        <v/>
      </c>
      <c r="K8" s="10">
        <f>K4*0.0801</f>
        <v/>
      </c>
      <c r="L8" s="10">
        <f>L4*0.0801</f>
        <v/>
      </c>
      <c r="M8" s="10">
        <f>M4*0.0801</f>
        <v/>
      </c>
      <c r="N8" s="10">
        <f>N4*0.0801</f>
        <v/>
      </c>
      <c r="O8" s="10">
        <f>O4*0.0801</f>
        <v/>
      </c>
      <c r="P8" s="10">
        <f>P4*0.0801</f>
        <v/>
      </c>
      <c r="Q8" s="10">
        <f>Q4*0.0801</f>
        <v/>
      </c>
      <c r="R8" s="10">
        <f>R4*0.0801</f>
        <v/>
      </c>
      <c r="S8" s="10">
        <f>S4*0.0801</f>
        <v/>
      </c>
    </row>
    <row r="9">
      <c r="A9" s="8" t="inlineStr">
        <is>
          <t>G&amp;A</t>
        </is>
      </c>
      <c r="B9" s="9" t="n">
        <v>897</v>
      </c>
      <c r="C9" s="9" t="n">
        <v>975</v>
      </c>
      <c r="D9" s="9" t="n">
        <v>1041</v>
      </c>
      <c r="E9" s="9" t="n">
        <v>1122</v>
      </c>
      <c r="F9" s="9" t="n">
        <v>1134</v>
      </c>
      <c r="G9" s="9" t="n">
        <v>1282</v>
      </c>
      <c r="H9" s="9" t="n">
        <v>1300</v>
      </c>
      <c r="I9" s="9" t="n">
        <v>1354</v>
      </c>
      <c r="J9" s="10">
        <f>J4*0.0175</f>
        <v/>
      </c>
      <c r="K9" s="10">
        <f>K4*0.0175</f>
        <v/>
      </c>
      <c r="L9" s="10">
        <f>L4*0.0175</f>
        <v/>
      </c>
      <c r="M9" s="10">
        <f>M4*0.0175</f>
        <v/>
      </c>
      <c r="N9" s="10">
        <f>N4*0.0175</f>
        <v/>
      </c>
      <c r="O9" s="10">
        <f>O4*0.0175</f>
        <v/>
      </c>
      <c r="P9" s="10">
        <f>P4*0.0175</f>
        <v/>
      </c>
      <c r="Q9" s="10">
        <f>Q4*0.0175</f>
        <v/>
      </c>
      <c r="R9" s="10">
        <f>R4*0.0175</f>
        <v/>
      </c>
      <c r="S9" s="10">
        <f>S4*0.0175</f>
        <v/>
      </c>
    </row>
    <row r="10">
      <c r="A10" s="8" t="inlineStr">
        <is>
          <t>Operating Expenses</t>
        </is>
      </c>
      <c r="B10" s="9">
        <f>B7+B8+B9</f>
        <v/>
      </c>
      <c r="C10" s="9">
        <f>C7+C8+C9</f>
        <v/>
      </c>
      <c r="D10" s="9">
        <f>D7+D8+D9</f>
        <v/>
      </c>
      <c r="E10" s="9">
        <f>E7+E8+E9</f>
        <v/>
      </c>
      <c r="F10" s="9">
        <f>F7+F8+F9</f>
        <v/>
      </c>
      <c r="G10" s="9">
        <f>G7+G8+G9</f>
        <v/>
      </c>
      <c r="H10" s="9">
        <f>H7+H8+H9</f>
        <v/>
      </c>
      <c r="I10" s="9">
        <f>I7+I8+I9</f>
        <v/>
      </c>
      <c r="J10" s="10">
        <f>J7+J8+J9</f>
        <v/>
      </c>
      <c r="K10" s="10">
        <f>K7+K8+K9</f>
        <v/>
      </c>
      <c r="L10" s="10">
        <f>L7+L8+L9</f>
        <v/>
      </c>
      <c r="M10" s="10">
        <f>M7+M8+M9</f>
        <v/>
      </c>
      <c r="N10" s="10">
        <f>N7+N8+N9</f>
        <v/>
      </c>
      <c r="O10" s="10">
        <f>O7+O8+O9</f>
        <v/>
      </c>
      <c r="P10" s="10">
        <f>P7+P8+P9</f>
        <v/>
      </c>
      <c r="Q10" s="10">
        <f>Q7+Q8+Q9</f>
        <v/>
      </c>
      <c r="R10" s="10">
        <f>R7+R8+R9</f>
        <v/>
      </c>
      <c r="S10" s="10">
        <f>S7+S8+S9</f>
        <v/>
      </c>
    </row>
    <row r="11">
      <c r="A11" s="8" t="inlineStr">
        <is>
          <t>Operating Income</t>
        </is>
      </c>
      <c r="B11" s="9">
        <f>B6-B10</f>
        <v/>
      </c>
      <c r="C11" s="9">
        <f>C6-C10</f>
        <v/>
      </c>
      <c r="D11" s="9">
        <f>D6-D10</f>
        <v/>
      </c>
      <c r="E11" s="9">
        <f>E6-E10</f>
        <v/>
      </c>
      <c r="F11" s="9">
        <f>F6-F10</f>
        <v/>
      </c>
      <c r="G11" s="9">
        <f>G6-G10</f>
        <v/>
      </c>
      <c r="H11" s="9">
        <f>H6-H10</f>
        <v/>
      </c>
      <c r="I11" s="9">
        <f>I6-I10</f>
        <v/>
      </c>
      <c r="J11" s="10">
        <f>J6-J10</f>
        <v/>
      </c>
      <c r="K11" s="10">
        <f>K6-K10</f>
        <v/>
      </c>
      <c r="L11" s="10">
        <f>L6-L10</f>
        <v/>
      </c>
      <c r="M11" s="10">
        <f>M6-M10</f>
        <v/>
      </c>
      <c r="N11" s="10">
        <f>N6-N10</f>
        <v/>
      </c>
      <c r="O11" s="10">
        <f>O6-O10</f>
        <v/>
      </c>
      <c r="P11" s="10">
        <f>P6-P10</f>
        <v/>
      </c>
      <c r="Q11" s="10">
        <f>Q6-Q10</f>
        <v/>
      </c>
      <c r="R11" s="10">
        <f>R6-R10</f>
        <v/>
      </c>
      <c r="S11" s="10">
        <f>S6-S10</f>
        <v/>
      </c>
    </row>
    <row r="12">
      <c r="A12" s="8" t="inlineStr">
        <is>
          <t>Interest Income</t>
        </is>
      </c>
      <c r="B12" s="9" t="n">
        <v>447</v>
      </c>
      <c r="C12" s="9" t="n">
        <v>1183</v>
      </c>
      <c r="D12" s="9" t="n">
        <v>272</v>
      </c>
      <c r="E12" s="9" t="n">
        <v>2766</v>
      </c>
      <c r="F12" s="9" t="n">
        <v>1926</v>
      </c>
      <c r="G12" s="9" t="n">
        <v>6099</v>
      </c>
      <c r="H12" s="9" t="n">
        <v>16367</v>
      </c>
      <c r="I12" s="9" t="n">
        <v>7773</v>
      </c>
      <c r="J12" s="10">
        <f>J4*0.1012</f>
        <v/>
      </c>
      <c r="K12" s="10">
        <f>K4*0.1012</f>
        <v/>
      </c>
      <c r="L12" s="10">
        <f>L4*0.1012</f>
        <v/>
      </c>
      <c r="M12" s="10">
        <f>M4*0.1012</f>
        <v/>
      </c>
      <c r="N12" s="10">
        <f>N4*0.1012</f>
        <v/>
      </c>
      <c r="O12" s="10">
        <f>O4*0.1012</f>
        <v/>
      </c>
      <c r="P12" s="10">
        <f>P4*0.1012</f>
        <v/>
      </c>
      <c r="Q12" s="10">
        <f>Q4*0.1012</f>
        <v/>
      </c>
      <c r="R12" s="10">
        <f>R4*0.1012</f>
        <v/>
      </c>
      <c r="S12" s="10">
        <f>S4*0.1012</f>
        <v/>
      </c>
    </row>
    <row r="13">
      <c r="A13" s="8" t="inlineStr">
        <is>
          <t>Pretax Income</t>
        </is>
      </c>
      <c r="B13" s="9" t="n">
        <v>22316</v>
      </c>
      <c r="C13" s="9" t="n">
        <v>25217</v>
      </c>
      <c r="D13" s="9" t="n">
        <v>21910</v>
      </c>
      <c r="E13" s="9" t="n">
        <v>31206</v>
      </c>
      <c r="F13" s="9" t="n">
        <v>37936</v>
      </c>
      <c r="G13" s="9" t="n">
        <v>50398</v>
      </c>
      <c r="H13" s="9" t="n">
        <v>69903</v>
      </c>
      <c r="I13" s="9" t="n">
        <v>71507</v>
      </c>
      <c r="J13" s="10">
        <f>J11+J12</f>
        <v/>
      </c>
      <c r="K13" s="10">
        <f>K11+K12</f>
        <v/>
      </c>
      <c r="L13" s="10">
        <f>L11+L12</f>
        <v/>
      </c>
      <c r="M13" s="10">
        <f>M11+M12</f>
        <v/>
      </c>
      <c r="N13" s="10">
        <f>N11+N12</f>
        <v/>
      </c>
      <c r="O13" s="10">
        <f>O11+O12</f>
        <v/>
      </c>
      <c r="P13" s="10">
        <f>P11+P12</f>
        <v/>
      </c>
      <c r="Q13" s="10">
        <f>Q11+Q12</f>
        <v/>
      </c>
      <c r="R13" s="10">
        <f>R11+R12</f>
        <v/>
      </c>
      <c r="S13" s="10">
        <f>S11+S12</f>
        <v/>
      </c>
    </row>
    <row r="14">
      <c r="A14" s="8" t="inlineStr">
        <is>
          <t>Taxes</t>
        </is>
      </c>
      <c r="B14" s="9" t="n">
        <v>3007</v>
      </c>
      <c r="C14" s="9" t="n">
        <v>3126</v>
      </c>
      <c r="D14" s="9" t="n">
        <v>3135</v>
      </c>
      <c r="E14" s="9" t="n">
        <v>4784</v>
      </c>
      <c r="F14" s="9" t="n">
        <v>6026</v>
      </c>
      <c r="G14" s="9" t="n">
        <v>7438</v>
      </c>
      <c r="H14" s="9" t="n">
        <v>11582</v>
      </c>
      <c r="I14" s="9" t="n">
        <v>11819</v>
      </c>
      <c r="J14" s="10">
        <f>J13*0.1594</f>
        <v/>
      </c>
      <c r="K14" s="10">
        <f>K13*0.1594</f>
        <v/>
      </c>
      <c r="L14" s="10">
        <f>L13*0.1594</f>
        <v/>
      </c>
      <c r="M14" s="10">
        <f>M13*0.1594</f>
        <v/>
      </c>
      <c r="N14" s="10">
        <f>N13*0.1594</f>
        <v/>
      </c>
      <c r="O14" s="10">
        <f>O13*0.1594</f>
        <v/>
      </c>
      <c r="P14" s="10">
        <f>P13*0.1594</f>
        <v/>
      </c>
      <c r="Q14" s="10">
        <f>Q13*0.1594</f>
        <v/>
      </c>
      <c r="R14" s="10">
        <f>R13*0.1594</f>
        <v/>
      </c>
      <c r="S14" s="10">
        <f>S13*0.1594</f>
        <v/>
      </c>
    </row>
    <row r="15">
      <c r="A15" s="8" t="inlineStr">
        <is>
          <t>Net Income</t>
        </is>
      </c>
      <c r="B15" s="9" t="n">
        <v>19309</v>
      </c>
      <c r="C15" s="9" t="n">
        <v>22091</v>
      </c>
      <c r="D15" s="9" t="n">
        <v>18775</v>
      </c>
      <c r="E15" s="9" t="n">
        <v>26422</v>
      </c>
      <c r="F15" s="9" t="n">
        <v>31910</v>
      </c>
      <c r="G15" s="9" t="n">
        <v>42960</v>
      </c>
      <c r="H15" s="9" t="n">
        <v>58321</v>
      </c>
      <c r="I15" s="9" t="n">
        <v>59688</v>
      </c>
      <c r="J15" s="10">
        <f>J13-J14</f>
        <v/>
      </c>
      <c r="K15" s="10">
        <f>K13-K14</f>
        <v/>
      </c>
      <c r="L15" s="10">
        <f>L13-L14</f>
        <v/>
      </c>
      <c r="M15" s="10">
        <f>M13-M14</f>
        <v/>
      </c>
      <c r="N15" s="10">
        <f>N13-N14</f>
        <v/>
      </c>
      <c r="O15" s="10">
        <f>O13-O14</f>
        <v/>
      </c>
      <c r="P15" s="10">
        <f>P13-P14</f>
        <v/>
      </c>
      <c r="Q15" s="10">
        <f>Q13-Q14</f>
        <v/>
      </c>
      <c r="R15" s="10">
        <f>R13-R14</f>
        <v/>
      </c>
      <c r="S15" s="10">
        <f>S13-S14</f>
        <v/>
      </c>
    </row>
    <row r="16">
      <c r="A16" s="8" t="inlineStr">
        <is>
          <t>EPS</t>
        </is>
      </c>
      <c r="B16" s="131" t="n">
        <v>0.78</v>
      </c>
      <c r="D16" s="131" t="n">
        <v>0.76</v>
      </c>
      <c r="E16" s="131" t="n">
        <v>1.08</v>
      </c>
      <c r="F16" s="131" t="n">
        <v>1.3</v>
      </c>
      <c r="H16" s="131" t="n">
        <v>2.39</v>
      </c>
      <c r="I16" s="131" t="n">
        <v>2.46</v>
      </c>
      <c r="J16" s="132">
        <f>IF(J17&lt;&gt;0,J15/J17,"")</f>
        <v/>
      </c>
      <c r="K16" s="132">
        <f>IF(K17&lt;&gt;0,K15/K17,"")</f>
        <v/>
      </c>
      <c r="L16" s="132">
        <f>IF(L17&lt;&gt;0,L15/L17,"")</f>
        <v/>
      </c>
      <c r="M16" s="132">
        <f>IF(M17&lt;&gt;0,M15/M17,"")</f>
        <v/>
      </c>
      <c r="N16" s="132">
        <f>IF(N17&lt;&gt;0,N15/N17,"")</f>
        <v/>
      </c>
      <c r="O16" s="132">
        <f>IF(O17&lt;&gt;0,O15/O17,"")</f>
        <v/>
      </c>
      <c r="P16" s="132">
        <f>IF(P17&lt;&gt;0,P15/P17,"")</f>
        <v/>
      </c>
      <c r="Q16" s="132">
        <f>IF(Q17&lt;&gt;0,Q15/Q17,"")</f>
        <v/>
      </c>
      <c r="R16" s="132">
        <f>IF(R17&lt;&gt;0,R15/R17,"")</f>
        <v/>
      </c>
      <c r="S16" s="132">
        <f>IF(S17&lt;&gt;0,S15/S17,"")</f>
        <v/>
      </c>
    </row>
    <row r="17">
      <c r="A17" s="8" t="inlineStr">
        <is>
          <t>Shares</t>
        </is>
      </c>
      <c r="B17" s="9" t="n">
        <v>24774</v>
      </c>
      <c r="D17" s="9" t="n">
        <v>24611</v>
      </c>
      <c r="E17" s="9" t="n">
        <v>24532</v>
      </c>
      <c r="F17" s="9" t="n">
        <v>24483</v>
      </c>
      <c r="H17" s="9" t="n">
        <v>24391</v>
      </c>
      <c r="I17" s="9" t="n">
        <v>24285</v>
      </c>
      <c r="J17" s="10">
        <f>24285.0-(J15*0.9*0.55/230.36)</f>
        <v/>
      </c>
      <c r="K17" s="10">
        <f>J17-(K15*0.9*0.55/230.36)</f>
        <v/>
      </c>
      <c r="L17" s="10">
        <f>K17-(L15*0.9*0.55/230.36)</f>
        <v/>
      </c>
      <c r="M17" s="10">
        <f>L17-(M15*0.9*0.55/230.36)</f>
        <v/>
      </c>
      <c r="N17" s="10">
        <f>M17-(N15*0.9*0.55/230.36)</f>
        <v/>
      </c>
      <c r="O17" s="10">
        <f>N17-(O15*0.9*0.55/230.36)</f>
        <v/>
      </c>
      <c r="P17" s="10">
        <f>O17-(P15*0.9*0.55/230.36)</f>
        <v/>
      </c>
      <c r="Q17" s="10">
        <f>P17-(Q15*0.9*0.55/230.36)</f>
        <v/>
      </c>
      <c r="R17" s="10">
        <f>Q17-(R15*0.9*0.55/230.36)</f>
        <v/>
      </c>
      <c r="S17" s="10">
        <f>R17-(S15*0.9*0.55/230.36)</f>
        <v/>
      </c>
    </row>
    <row r="18"/>
    <row r="19">
      <c r="A19" s="8" t="inlineStr">
        <is>
          <t>Revenue y/y</t>
        </is>
      </c>
      <c r="F19" s="13">
        <f>F4/B4-1</f>
        <v/>
      </c>
      <c r="G19" s="13">
        <f>G4/C4-1</f>
        <v/>
      </c>
      <c r="H19" s="13">
        <f>H4/D4-1</f>
        <v/>
      </c>
      <c r="I19" s="13">
        <f>I4/E4-1</f>
        <v/>
      </c>
      <c r="J19" s="14">
        <f>J4/F4-1</f>
        <v/>
      </c>
      <c r="K19" s="14">
        <f>K4/G4-1</f>
        <v/>
      </c>
      <c r="L19" s="14">
        <f>L4/H4-1</f>
        <v/>
      </c>
      <c r="M19" s="14">
        <f>M4/I4-1</f>
        <v/>
      </c>
      <c r="N19" s="14">
        <f>N4/J4-1</f>
        <v/>
      </c>
      <c r="O19" s="14">
        <f>O4/K4-1</f>
        <v/>
      </c>
      <c r="P19" s="14">
        <f>P4/L4-1</f>
        <v/>
      </c>
      <c r="Q19" s="14">
        <f>Q4/M4-1</f>
        <v/>
      </c>
      <c r="R19" s="14">
        <f>R4/N4-1</f>
        <v/>
      </c>
      <c r="S19" s="14">
        <f>S4/O4-1</f>
        <v/>
      </c>
    </row>
    <row r="20">
      <c r="A20" s="8" t="inlineStr">
        <is>
          <t>Gross Margin</t>
        </is>
      </c>
      <c r="B20" s="13">
        <f>IF(B4&lt;&gt;0,B6/B4,"")</f>
        <v/>
      </c>
      <c r="C20" s="13">
        <f>IF(C4&lt;&gt;0,C6/C4,"")</f>
        <v/>
      </c>
      <c r="D20" s="13">
        <f>IF(D4&lt;&gt;0,D6/D4,"")</f>
        <v/>
      </c>
      <c r="E20" s="13">
        <f>IF(E4&lt;&gt;0,E6/E4,"")</f>
        <v/>
      </c>
      <c r="F20" s="13">
        <f>IF(F4&lt;&gt;0,F6/F4,"")</f>
        <v/>
      </c>
      <c r="G20" s="13">
        <f>IF(G4&lt;&gt;0,G6/G4,"")</f>
        <v/>
      </c>
      <c r="H20" s="13">
        <f>IF(H4&lt;&gt;0,H6/H4,"")</f>
        <v/>
      </c>
      <c r="I20" s="13">
        <f>IF(I4&lt;&gt;0,I6/I4,"")</f>
        <v/>
      </c>
      <c r="J20" s="14">
        <f>IF(J4&lt;&gt;0,J6/J4,"")</f>
        <v/>
      </c>
      <c r="K20" s="14">
        <f>IF(K4&lt;&gt;0,K6/K4,"")</f>
        <v/>
      </c>
      <c r="L20" s="14">
        <f>IF(L4&lt;&gt;0,L6/L4,"")</f>
        <v/>
      </c>
      <c r="M20" s="14">
        <f>IF(M4&lt;&gt;0,M6/M4,"")</f>
        <v/>
      </c>
      <c r="N20" s="14">
        <f>IF(N4&lt;&gt;0,N6/N4,"")</f>
        <v/>
      </c>
      <c r="O20" s="14">
        <f>IF(O4&lt;&gt;0,O6/O4,"")</f>
        <v/>
      </c>
      <c r="P20" s="14">
        <f>IF(P4&lt;&gt;0,P6/P4,"")</f>
        <v/>
      </c>
      <c r="Q20" s="14">
        <f>IF(Q4&lt;&gt;0,Q6/Q4,"")</f>
        <v/>
      </c>
      <c r="R20" s="14">
        <f>IF(R4&lt;&gt;0,R6/R4,"")</f>
        <v/>
      </c>
      <c r="S20" s="14">
        <f>IF(S4&lt;&gt;0,S6/S4,"")</f>
        <v/>
      </c>
    </row>
    <row r="21"/>
    <row r="22">
      <c r="A22" s="8" t="inlineStr">
        <is>
          <t>CFFO</t>
        </is>
      </c>
      <c r="B22" s="9" t="n">
        <v>17627</v>
      </c>
      <c r="C22" s="9" t="n">
        <v>16629</v>
      </c>
      <c r="D22" s="9" t="n">
        <v>27414</v>
      </c>
      <c r="E22" s="9" t="n">
        <v>15365</v>
      </c>
      <c r="F22" s="9" t="n">
        <v>23751</v>
      </c>
      <c r="G22" s="9" t="n">
        <v>36188</v>
      </c>
      <c r="H22" s="9" t="n">
        <v>50344</v>
      </c>
      <c r="I22" s="9" t="n">
        <v>24077</v>
      </c>
      <c r="J22" s="10">
        <f>J4*0.4537</f>
        <v/>
      </c>
      <c r="K22" s="10">
        <f>K4*0.4537</f>
        <v/>
      </c>
      <c r="L22" s="10">
        <f>L4*0.4537</f>
        <v/>
      </c>
      <c r="M22" s="10">
        <f>M4*0.4537</f>
        <v/>
      </c>
      <c r="N22" s="10">
        <f>N4*0.4537</f>
        <v/>
      </c>
      <c r="O22" s="10">
        <f>O4*0.4537</f>
        <v/>
      </c>
      <c r="P22" s="10">
        <f>P4*0.4537</f>
        <v/>
      </c>
      <c r="Q22" s="10">
        <f>Q4*0.4537</f>
        <v/>
      </c>
      <c r="R22" s="10">
        <f>R4*0.4537</f>
        <v/>
      </c>
      <c r="S22" s="10">
        <f>S4*0.4537</f>
        <v/>
      </c>
    </row>
    <row r="23">
      <c r="A23" s="8" t="inlineStr">
        <is>
          <t>CX</t>
        </is>
      </c>
      <c r="B23" s="9" t="n">
        <v>813</v>
      </c>
      <c r="C23" s="9" t="n">
        <v>1077</v>
      </c>
      <c r="D23" s="9" t="n">
        <v>1227</v>
      </c>
      <c r="E23" s="9" t="n">
        <v>1895</v>
      </c>
      <c r="F23" s="9" t="n">
        <v>1636</v>
      </c>
      <c r="G23" s="9" t="n">
        <v>1284</v>
      </c>
      <c r="H23" s="9" t="n">
        <v>1757</v>
      </c>
      <c r="I23" s="9" t="n">
        <v>2677</v>
      </c>
      <c r="J23" s="10">
        <f>J4*0.0242</f>
        <v/>
      </c>
      <c r="K23" s="10">
        <f>K4*0.0242</f>
        <v/>
      </c>
      <c r="L23" s="10">
        <f>L4*0.0242</f>
        <v/>
      </c>
      <c r="M23" s="10">
        <f>M4*0.0242</f>
        <v/>
      </c>
      <c r="N23" s="10">
        <f>N4*0.0242</f>
        <v/>
      </c>
      <c r="O23" s="10">
        <f>O4*0.0242</f>
        <v/>
      </c>
      <c r="P23" s="10">
        <f>P4*0.0242</f>
        <v/>
      </c>
      <c r="Q23" s="10">
        <f>Q4*0.0242</f>
        <v/>
      </c>
      <c r="R23" s="10">
        <f>R4*0.0242</f>
        <v/>
      </c>
      <c r="S23" s="10">
        <f>S4*0.0242</f>
        <v/>
      </c>
    </row>
    <row r="24">
      <c r="A24" s="8" t="inlineStr">
        <is>
          <t>FCF</t>
        </is>
      </c>
      <c r="B24" s="9">
        <f>B22-B23</f>
        <v/>
      </c>
      <c r="C24" s="9">
        <f>C22-C23</f>
        <v/>
      </c>
      <c r="D24" s="9">
        <f>D22-D23</f>
        <v/>
      </c>
      <c r="E24" s="9">
        <f>E22-E23</f>
        <v/>
      </c>
      <c r="F24" s="9">
        <f>F22-F23</f>
        <v/>
      </c>
      <c r="G24" s="9">
        <f>G22-G23</f>
        <v/>
      </c>
      <c r="H24" s="9">
        <f>H22-H23</f>
        <v/>
      </c>
      <c r="I24" s="9">
        <f>I22-I23</f>
        <v/>
      </c>
      <c r="J24" s="10">
        <f>J22-J23</f>
        <v/>
      </c>
      <c r="K24" s="10">
        <f>K22-K23</f>
        <v/>
      </c>
      <c r="L24" s="10">
        <f>L22-L23</f>
        <v/>
      </c>
      <c r="M24" s="10">
        <f>M22-M23</f>
        <v/>
      </c>
      <c r="N24" s="10">
        <f>N22-N23</f>
        <v/>
      </c>
      <c r="O24" s="10">
        <f>O22-O23</f>
        <v/>
      </c>
      <c r="P24" s="10">
        <f>P22-P23</f>
        <v/>
      </c>
      <c r="Q24" s="10">
        <f>Q22-Q23</f>
        <v/>
      </c>
      <c r="R24" s="10">
        <f>R22-R23</f>
        <v/>
      </c>
      <c r="S24" s="10">
        <f>S22-S23</f>
        <v/>
      </c>
    </row>
    <row r="25">
      <c r="A25" s="8" t="inlineStr">
        <is>
          <t>CFFO margin</t>
        </is>
      </c>
      <c r="B25" s="13">
        <f>IF(B4&lt;&gt;0,B22/B4,"")</f>
        <v/>
      </c>
      <c r="C25" s="13">
        <f>IF(C4&lt;&gt;0,C22/C4,"")</f>
        <v/>
      </c>
      <c r="D25" s="13">
        <f>IF(D4&lt;&gt;0,D22/D4,"")</f>
        <v/>
      </c>
      <c r="E25" s="13">
        <f>IF(E4&lt;&gt;0,E22/E4,"")</f>
        <v/>
      </c>
      <c r="F25" s="13">
        <f>IF(F4&lt;&gt;0,F22/F4,"")</f>
        <v/>
      </c>
      <c r="G25" s="13">
        <f>IF(G4&lt;&gt;0,G22/G4,"")</f>
        <v/>
      </c>
      <c r="H25" s="13">
        <f>IF(H4&lt;&gt;0,H22/H4,"")</f>
        <v/>
      </c>
      <c r="I25" s="13">
        <f>IF(I4&lt;&gt;0,I22/I4,"")</f>
        <v/>
      </c>
      <c r="J25" s="14">
        <f>IF(J4&lt;&gt;0,J22/J4,"")</f>
        <v/>
      </c>
      <c r="K25" s="14">
        <f>IF(K4&lt;&gt;0,K22/K4,"")</f>
        <v/>
      </c>
      <c r="L25" s="14">
        <f>IF(L4&lt;&gt;0,L22/L4,"")</f>
        <v/>
      </c>
      <c r="M25" s="14">
        <f>IF(M4&lt;&gt;0,M22/M4,"")</f>
        <v/>
      </c>
      <c r="N25" s="14">
        <f>IF(N4&lt;&gt;0,N22/N4,"")</f>
        <v/>
      </c>
      <c r="O25" s="14">
        <f>IF(O4&lt;&gt;0,O22/O4,"")</f>
        <v/>
      </c>
      <c r="P25" s="14">
        <f>IF(P4&lt;&gt;0,P22/P4,"")</f>
        <v/>
      </c>
      <c r="Q25" s="14">
        <f>IF(Q4&lt;&gt;0,Q22/Q4,"")</f>
        <v/>
      </c>
      <c r="R25" s="14">
        <f>IF(R4&lt;&gt;0,R22/R4,"")</f>
        <v/>
      </c>
      <c r="S25" s="14">
        <f>IF(S4&lt;&gt;0,S22/S4,"")</f>
        <v/>
      </c>
    </row>
    <row r="26"/>
    <row r="27">
      <c r="A27" s="8" t="inlineStr">
        <is>
          <t>Cash</t>
        </is>
      </c>
      <c r="B27" s="9" t="n">
        <v>9107</v>
      </c>
      <c r="C27" s="9" t="n">
        <v>8589</v>
      </c>
      <c r="D27" s="9" t="n">
        <v>15234</v>
      </c>
      <c r="E27" s="9" t="n">
        <v>11639</v>
      </c>
      <c r="F27" s="9" t="n">
        <v>11486</v>
      </c>
      <c r="G27" s="9" t="n">
        <v>10605</v>
      </c>
      <c r="H27" s="9" t="n">
        <v>13237</v>
      </c>
      <c r="I27" s="9" t="n">
        <v>22443</v>
      </c>
    </row>
    <row r="28">
      <c r="A28" s="8" t="inlineStr">
        <is>
          <t>AR</t>
        </is>
      </c>
      <c r="B28" s="9" t="n">
        <v>17693</v>
      </c>
      <c r="C28" s="9" t="n">
        <v>23065</v>
      </c>
      <c r="D28" s="9" t="n">
        <v>22132</v>
      </c>
      <c r="E28" s="9" t="n">
        <v>27808</v>
      </c>
      <c r="F28" s="9" t="n">
        <v>33391</v>
      </c>
      <c r="G28" s="9" t="n">
        <v>38466</v>
      </c>
      <c r="H28" s="9" t="n">
        <v>40710</v>
      </c>
      <c r="I28" s="9" t="n">
        <v>63059</v>
      </c>
    </row>
    <row r="29">
      <c r="A29" s="8" t="inlineStr">
        <is>
          <t>Prepaids</t>
        </is>
      </c>
      <c r="B29" s="9" t="n">
        <v>3806</v>
      </c>
      <c r="C29" s="9" t="n">
        <v>3771</v>
      </c>
      <c r="D29" s="9" t="n">
        <v>2779</v>
      </c>
      <c r="E29" s="9" t="n">
        <v>2658</v>
      </c>
      <c r="F29" s="9" t="n">
        <v>2709</v>
      </c>
      <c r="G29" s="9" t="n">
        <v>3180</v>
      </c>
      <c r="H29" s="9" t="n">
        <v>3916</v>
      </c>
      <c r="I29" s="9" t="n">
        <v>3409</v>
      </c>
    </row>
    <row r="30">
      <c r="A30" s="8" t="inlineStr">
        <is>
          <t>PP&amp;E</t>
        </is>
      </c>
      <c r="B30" s="9" t="n">
        <v>5343</v>
      </c>
      <c r="C30" s="9" t="n">
        <v>6283</v>
      </c>
      <c r="D30" s="9" t="n">
        <v>7136</v>
      </c>
      <c r="E30" s="9" t="n">
        <v>9141</v>
      </c>
      <c r="F30" s="9" t="n">
        <v>9780</v>
      </c>
      <c r="G30" s="9" t="n">
        <v>10383</v>
      </c>
      <c r="H30" s="9" t="n">
        <v>12403</v>
      </c>
      <c r="I30" s="9" t="n">
        <v>14285</v>
      </c>
    </row>
    <row r="31">
      <c r="A31" s="8" t="inlineStr">
        <is>
          <t>Goodwill</t>
        </is>
      </c>
      <c r="B31" s="9" t="n">
        <v>4724</v>
      </c>
      <c r="C31" s="9" t="n">
        <v>5188</v>
      </c>
      <c r="D31" s="9" t="n">
        <v>5498</v>
      </c>
      <c r="E31" s="9" t="n">
        <v>5755</v>
      </c>
      <c r="F31" s="9" t="n">
        <v>6261</v>
      </c>
      <c r="G31" s="9" t="n">
        <v>20832</v>
      </c>
      <c r="H31" s="9" t="n">
        <v>20894</v>
      </c>
      <c r="I31" s="9" t="n">
        <v>21125</v>
      </c>
    </row>
    <row r="32">
      <c r="A32" s="8" t="inlineStr">
        <is>
          <t>ONCA</t>
        </is>
      </c>
      <c r="B32" s="9">
        <f>B33-B27-B28-B29-B30-B31</f>
        <v/>
      </c>
      <c r="C32" s="9">
        <f>C33-C27-C28-C29-C30-C31</f>
        <v/>
      </c>
      <c r="D32" s="9">
        <f>D33-D27-D28-D29-D30-D31</f>
        <v/>
      </c>
      <c r="E32" s="9">
        <f>E33-E27-E28-E29-E30-E31</f>
        <v/>
      </c>
      <c r="F32" s="9">
        <f>F33-F27-F28-F29-F30-F31</f>
        <v/>
      </c>
      <c r="G32" s="9">
        <f>G33-G27-G28-G29-G30-G31</f>
        <v/>
      </c>
      <c r="H32" s="9">
        <f>H33-H27-H28-H29-H30-H31</f>
        <v/>
      </c>
      <c r="I32" s="9">
        <f>I33-I27-I28-I29-I30-I31</f>
        <v/>
      </c>
    </row>
    <row r="33">
      <c r="A33" s="8" t="inlineStr">
        <is>
          <t>Assets</t>
        </is>
      </c>
      <c r="B33" s="9" t="n">
        <v>96013</v>
      </c>
      <c r="C33" s="9" t="n">
        <v>111601</v>
      </c>
      <c r="D33" s="9" t="n">
        <v>125254</v>
      </c>
      <c r="E33" s="9" t="n">
        <v>140740</v>
      </c>
      <c r="F33" s="9" t="n">
        <v>161148</v>
      </c>
      <c r="G33" s="9" t="n">
        <v>206803</v>
      </c>
      <c r="H33" s="9" t="n">
        <v>259474</v>
      </c>
      <c r="I33" s="9" t="n">
        <v>320272</v>
      </c>
    </row>
    <row r="34"/>
    <row r="35">
      <c r="A35" s="8" t="inlineStr">
        <is>
          <t>AP</t>
        </is>
      </c>
      <c r="B35" s="9" t="n">
        <v>5353</v>
      </c>
      <c r="C35" s="9" t="n">
        <v>6310</v>
      </c>
      <c r="D35" s="9" t="n">
        <v>7331</v>
      </c>
      <c r="E35" s="9" t="n">
        <v>9064</v>
      </c>
      <c r="F35" s="9" t="n">
        <v>8624</v>
      </c>
      <c r="G35" s="9" t="n">
        <v>9812</v>
      </c>
      <c r="H35" s="9" t="n">
        <v>13097</v>
      </c>
      <c r="I35" s="9" t="n">
        <v>15059</v>
      </c>
    </row>
    <row r="36">
      <c r="A36" s="8" t="inlineStr">
        <is>
          <t>AL</t>
        </is>
      </c>
      <c r="B36" s="9" t="n">
        <v>11126</v>
      </c>
      <c r="C36" s="9" t="n">
        <v>11737</v>
      </c>
      <c r="D36" s="9" t="n">
        <v>19211</v>
      </c>
      <c r="E36" s="9" t="n">
        <v>15193</v>
      </c>
      <c r="F36" s="9" t="n">
        <v>16452</v>
      </c>
      <c r="G36" s="9" t="n">
        <v>21352</v>
      </c>
      <c r="H36" s="9" t="n">
        <v>29787</v>
      </c>
      <c r="I36" s="9" t="n">
        <v>26960</v>
      </c>
    </row>
    <row r="37">
      <c r="A37" s="8" t="inlineStr">
        <is>
          <t>DR</t>
        </is>
      </c>
      <c r="B37" s="9" t="n">
        <v>752</v>
      </c>
      <c r="C37" s="9" t="n">
        <v>837</v>
      </c>
      <c r="D37" s="9" t="n">
        <v>1074</v>
      </c>
      <c r="E37" s="9" t="n">
        <v>980</v>
      </c>
      <c r="F37" s="9" t="n">
        <v>1248</v>
      </c>
      <c r="G37" s="9" t="n">
        <v>1379</v>
      </c>
      <c r="H37" s="9" t="n">
        <v>1714</v>
      </c>
      <c r="I37" s="9" t="n">
        <v>4616</v>
      </c>
    </row>
    <row r="38">
      <c r="A38" s="8" t="inlineStr">
        <is>
          <t>Debt</t>
        </is>
      </c>
      <c r="B38" s="9" t="n">
        <v>8462</v>
      </c>
      <c r="C38" s="9" t="n">
        <v>8463</v>
      </c>
      <c r="D38" s="9" t="n">
        <v>8464</v>
      </c>
      <c r="E38" s="9" t="n">
        <v>8466</v>
      </c>
      <c r="F38" s="9" t="n">
        <v>8467</v>
      </c>
      <c r="G38" s="9" t="n">
        <v>8468</v>
      </c>
      <c r="H38" s="9" t="n">
        <v>8470</v>
      </c>
      <c r="I38" s="9" t="n">
        <v>33366</v>
      </c>
    </row>
    <row r="39">
      <c r="A39" s="8" t="inlineStr">
        <is>
          <t>ONCL</t>
        </is>
      </c>
      <c r="B39" s="9">
        <f>30114.0-B35-B36-B37-B38</f>
        <v/>
      </c>
      <c r="C39" s="9">
        <f>32274.0-C35-C36-C37-C38</f>
        <v/>
      </c>
      <c r="D39" s="9">
        <f>41411.0-D35-D36-D37-D38</f>
        <v/>
      </c>
      <c r="E39" s="9">
        <f>40609.0-E35-E36-E37-E38</f>
        <v/>
      </c>
      <c r="F39" s="9">
        <f>42251.0-F35-F36-F37-F38</f>
        <v/>
      </c>
      <c r="G39" s="9">
        <f>49510.0-G35-G36-G37-G38</f>
        <v/>
      </c>
      <c r="H39" s="9">
        <f>64000.0-H35-H36-H37-H38</f>
        <v/>
      </c>
      <c r="I39" s="9">
        <f>91288.0-I35-I36-I37-I38</f>
        <v/>
      </c>
    </row>
    <row r="40">
      <c r="A40" s="8" t="inlineStr">
        <is>
          <t>SE</t>
        </is>
      </c>
      <c r="B40" s="9" t="n">
        <v>65899</v>
      </c>
      <c r="C40" s="9" t="n">
        <v>79327</v>
      </c>
      <c r="D40" s="9" t="n">
        <v>83843</v>
      </c>
      <c r="E40" s="9" t="n">
        <v>100131</v>
      </c>
      <c r="F40" s="9" t="n">
        <v>118897</v>
      </c>
      <c r="G40" s="9" t="n">
        <v>157293</v>
      </c>
      <c r="H40" s="9" t="n">
        <v>195474</v>
      </c>
      <c r="I40" s="9" t="n">
        <v>228984</v>
      </c>
    </row>
    <row r="41">
      <c r="A41" s="8" t="inlineStr">
        <is>
          <t>L+SE</t>
        </is>
      </c>
      <c r="B41" s="9">
        <f>B35+B36+B37+B38+B39+B40</f>
        <v/>
      </c>
      <c r="C41" s="9">
        <f>C35+C36+C37+C38+C39+C40</f>
        <v/>
      </c>
      <c r="D41" s="9">
        <f>D35+D36+D37+D38+D39+D40</f>
        <v/>
      </c>
      <c r="E41" s="9">
        <f>E35+E36+E37+E38+E39+E40</f>
        <v/>
      </c>
      <c r="F41" s="9">
        <f>F35+F36+F37+F38+F39+F40</f>
        <v/>
      </c>
      <c r="G41" s="9">
        <f>G35+G36+G37+G38+G39+G40</f>
        <v/>
      </c>
      <c r="H41" s="9">
        <f>H35+H36+H37+H38+H39+H40</f>
        <v/>
      </c>
      <c r="I41" s="9">
        <f>I35+I36+I37+I38+I39+I40</f>
        <v/>
      </c>
    </row>
    <row r="42"/>
    <row r="43">
      <c r="A43" s="15" t="inlineStr">
        <is>
          <t>ANNUAL SUMMARY ($M)</t>
        </is>
      </c>
    </row>
    <row r="44">
      <c r="A44" s="8" t="inlineStr"/>
      <c r="B44" s="6" t="inlineStr">
        <is>
          <t>FY2026</t>
        </is>
      </c>
      <c r="C44" s="6" t="inlineStr">
        <is>
          <t>FY2027</t>
        </is>
      </c>
      <c r="D44" s="6" t="inlineStr">
        <is>
          <t>FY2028</t>
        </is>
      </c>
      <c r="E44" s="6" t="inlineStr">
        <is>
          <t>FY2029</t>
        </is>
      </c>
    </row>
    <row r="45">
      <c r="A45" s="8" t="inlineStr">
        <is>
          <t>Revenue</t>
        </is>
      </c>
      <c r="B45" s="16">
        <f>D4+E4+F4+G4</f>
        <v/>
      </c>
      <c r="C45" s="17">
        <f>H4+I4+J4+K4</f>
        <v/>
      </c>
      <c r="D45" s="17">
        <f>L4+M4+N4+O4</f>
        <v/>
      </c>
      <c r="E45" s="17">
        <f>P4+Q4+R4+S4</f>
        <v/>
      </c>
    </row>
    <row r="46">
      <c r="A46" s="8" t="inlineStr">
        <is>
          <t>Gross Profit</t>
        </is>
      </c>
      <c r="B46" s="16">
        <f>D6+E6+F6+G6</f>
        <v/>
      </c>
      <c r="C46" s="17">
        <f>H6+I6+J6+K6</f>
        <v/>
      </c>
      <c r="D46" s="17">
        <f>L6+M6+N6+O6</f>
        <v/>
      </c>
      <c r="E46" s="17">
        <f>P6+Q6+R6+S6</f>
        <v/>
      </c>
    </row>
    <row r="47">
      <c r="A47" s="8" t="inlineStr">
        <is>
          <t>Operating Income</t>
        </is>
      </c>
      <c r="B47" s="16">
        <f>D11+E11+F11+G11</f>
        <v/>
      </c>
      <c r="C47" s="17">
        <f>H11+I11+J11+K11</f>
        <v/>
      </c>
      <c r="D47" s="17">
        <f>L11+M11+N11+O11</f>
        <v/>
      </c>
      <c r="E47" s="17">
        <f>P11+Q11+R11+S11</f>
        <v/>
      </c>
    </row>
    <row r="48">
      <c r="A48" s="8" t="inlineStr">
        <is>
          <t>Net Income</t>
        </is>
      </c>
      <c r="B48" s="16">
        <f>D15+E15+F15+G15</f>
        <v/>
      </c>
      <c r="C48" s="17">
        <f>H15+I15+J15+K15</f>
        <v/>
      </c>
      <c r="D48" s="17">
        <f>L15+M15+N15+O15</f>
        <v/>
      </c>
      <c r="E48" s="17">
        <f>P15+Q15+R15+S15</f>
        <v/>
      </c>
    </row>
    <row r="49">
      <c r="A49" s="8" t="inlineStr">
        <is>
          <t>EPS</t>
        </is>
      </c>
      <c r="B49" s="133">
        <f>D16+E16+F16+G16</f>
        <v/>
      </c>
      <c r="C49" s="134">
        <f>H16+I16+J16+K16</f>
        <v/>
      </c>
      <c r="D49" s="134">
        <f>L16+M16+N16+O16</f>
        <v/>
      </c>
      <c r="E49" s="134">
        <f>P16+Q16+R16+S16</f>
        <v/>
      </c>
    </row>
    <row r="50">
      <c r="A50" s="8" t="inlineStr">
        <is>
          <t>FCF</t>
        </is>
      </c>
      <c r="B50" s="16">
        <f>D24+E24+F24+G24</f>
        <v/>
      </c>
      <c r="C50" s="17">
        <f>H24+I24+J24+K24</f>
        <v/>
      </c>
      <c r="D50" s="17">
        <f>L24+M24+N24+O24</f>
        <v/>
      </c>
      <c r="E50" s="17">
        <f>P24+Q24+R24+S24</f>
        <v/>
      </c>
    </row>
    <row r="51"/>
    <row r="52">
      <c r="A52" s="8" t="inlineStr">
        <is>
          <t>Revenue Growth</t>
        </is>
      </c>
      <c r="B52" s="20" t="n"/>
      <c r="C52" s="21">
        <f>(H4+I4+J4+K4)/(D4+E4+F4+G4)-1</f>
        <v/>
      </c>
      <c r="D52" s="21">
        <f>(L4+M4+N4+O4)/(H4+I4+J4+K4)-1</f>
        <v/>
      </c>
      <c r="E52" s="21">
        <f>(P4+Q4+R4+S4)/(L4+M4+N4+O4)-1</f>
        <v/>
      </c>
    </row>
    <row r="53">
      <c r="A53" s="8" t="inlineStr">
        <is>
          <t>Gross Margin</t>
        </is>
      </c>
      <c r="B53" s="20">
        <f>IF((D4+E4+F4+G4)&lt;&gt;0,(D6+E6+F6+G6)/(D4+E4+F4+G4),"")</f>
        <v/>
      </c>
      <c r="C53" s="21">
        <f>IF((H4+I4+J4+K4)&lt;&gt;0,(H6+I6+J6+K6)/(H4+I4+J4+K4),"")</f>
        <v/>
      </c>
      <c r="D53" s="21">
        <f>IF((L4+M4+N4+O4)&lt;&gt;0,(L6+M6+N6+O6)/(L4+M4+N4+O4),"")</f>
        <v/>
      </c>
      <c r="E53" s="21">
        <f>IF((P4+Q4+R4+S4)&lt;&gt;0,(P6+Q6+R6+S6)/(P4+Q4+R4+S4),"")</f>
        <v/>
      </c>
    </row>
    <row r="54">
      <c r="A54" s="8" t="inlineStr">
        <is>
          <t>Operating Margin</t>
        </is>
      </c>
      <c r="B54" s="20">
        <f>IF((D4+E4+F4+G4)&lt;&gt;0,(D11+E11+F11+G11)/(D4+E4+F4+G4),"")</f>
        <v/>
      </c>
      <c r="C54" s="21">
        <f>IF((H4+I4+J4+K4)&lt;&gt;0,(H11+I11+J11+K11)/(H4+I4+J4+K4),"")</f>
        <v/>
      </c>
      <c r="D54" s="21">
        <f>IF((L4+M4+N4+O4)&lt;&gt;0,(L11+M11+N11+O11)/(L4+M4+N4+O4),"")</f>
        <v/>
      </c>
      <c r="E54" s="21">
        <f>IF((P4+Q4+R4+S4)&lt;&gt;0,(P11+Q11+R11+S11)/(P4+Q4+R4+S4),"")</f>
        <v/>
      </c>
    </row>
    <row r="55">
      <c r="A55" s="8" t="inlineStr">
        <is>
          <t>Net Margin</t>
        </is>
      </c>
      <c r="B55" s="20">
        <f>IF((D4+E4+F4+G4)&lt;&gt;0,(D15+E15+F15+G15)/(D4+E4+F4+G4),"")</f>
        <v/>
      </c>
      <c r="C55" s="21">
        <f>IF((H4+I4+J4+K4)&lt;&gt;0,(H15+I15+J15+K15)/(H4+I4+J4+K4),"")</f>
        <v/>
      </c>
      <c r="D55" s="21">
        <f>IF((L4+M4+N4+O4)&lt;&gt;0,(L15+M15+N15+O15)/(L4+M4+N4+O4),"")</f>
        <v/>
      </c>
      <c r="E55" s="21">
        <f>IF((P4+Q4+R4+S4)&lt;&gt;0,(P15+Q15+R15+S15)/(P4+Q4+R4+S4),"")</f>
        <v/>
      </c>
    </row>
    <row r="56">
      <c r="A56" s="8" t="inlineStr">
        <is>
          <t>FCF Margin</t>
        </is>
      </c>
      <c r="B56" s="20">
        <f>IF((D4+E4+F4+G4)&lt;&gt;0,(D24+E24+F24+G24)/(D4+E4+F4+G4),"")</f>
        <v/>
      </c>
      <c r="C56" s="21">
        <f>IF((H4+I4+J4+K4)&lt;&gt;0,(H24+I24+J24+K24)/(H4+I4+J4+K4),"")</f>
        <v/>
      </c>
      <c r="D56" s="21">
        <f>IF((L4+M4+N4+O4)&lt;&gt;0,(L24+M24+N24+O24)/(L4+M4+N4+O4),"")</f>
        <v/>
      </c>
      <c r="E56" s="21">
        <f>IF((P4+Q4+R4+S4)&lt;&gt;0,(P24+Q24+R24+S24)/(P4+Q4+R4+S4),"")</f>
        <v/>
      </c>
    </row>
  </sheetData>
  <mergeCells count="1">
    <mergeCell ref="C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5"/>
  <sheetViews>
    <sheetView workbookViewId="0">
      <pane xSplit="1" topLeftCell="B1" activePane="topRight" state="frozen"/>
      <selection pane="topRigh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6" customWidth="1" min="20" max="20"/>
    <col width="16" customWidth="1" min="21" max="21"/>
    <col width="16" customWidth="1" min="22" max="22"/>
  </cols>
  <sheetData>
    <row r="1">
      <c r="A1" s="1" t="inlineStr">
        <is>
          <t>NVIDIA CORP - Revenue Drivers</t>
        </is>
      </c>
    </row>
    <row r="2">
      <c r="A2" s="22" t="inlineStr">
        <is>
          <t>Input quarterly segment estimates in yellow cells ($Ms). Q4 columns show annual 10-K totals as reference. | Estimates: Q2 FY27 8-K: Q3 guide $108.0B +/-2%. Segments re-cut to the FY27 customer-type taxonomy; split held at the Q2 FY27 ACTUAL mix rather than extrapolating the 2-quarter AICIE share drift (too thin to trend).</t>
        </is>
      </c>
    </row>
    <row r="3">
      <c r="B3" s="6" t="inlineStr">
        <is>
          <t>Q325</t>
        </is>
      </c>
      <c r="C3" s="6" t="inlineStr">
        <is>
          <t>Q425 (FY)</t>
        </is>
      </c>
      <c r="D3" s="6" t="inlineStr">
        <is>
          <t>Q126</t>
        </is>
      </c>
      <c r="E3" s="6" t="inlineStr">
        <is>
          <t>Q226</t>
        </is>
      </c>
      <c r="F3" s="6" t="inlineStr">
        <is>
          <t>Q326</t>
        </is>
      </c>
      <c r="G3" s="6" t="inlineStr">
        <is>
          <t>Q426 (FY)</t>
        </is>
      </c>
      <c r="H3" s="6" t="inlineStr">
        <is>
          <t>Q127</t>
        </is>
      </c>
      <c r="I3" s="6" t="inlineStr">
        <is>
          <t>Q227</t>
        </is>
      </c>
      <c r="J3" s="7" t="inlineStr">
        <is>
          <t>Q327</t>
        </is>
      </c>
      <c r="K3" s="7" t="inlineStr">
        <is>
          <t>Q427</t>
        </is>
      </c>
      <c r="L3" s="7" t="inlineStr">
        <is>
          <t>Q128</t>
        </is>
      </c>
      <c r="M3" s="7" t="inlineStr">
        <is>
          <t>Q228</t>
        </is>
      </c>
      <c r="N3" s="7" t="inlineStr">
        <is>
          <t>Q328</t>
        </is>
      </c>
      <c r="O3" s="7" t="inlineStr">
        <is>
          <t>Q428</t>
        </is>
      </c>
      <c r="P3" s="7" t="inlineStr">
        <is>
          <t>Q129</t>
        </is>
      </c>
      <c r="Q3" s="7" t="inlineStr">
        <is>
          <t>Q229</t>
        </is>
      </c>
      <c r="R3" s="7" t="inlineStr">
        <is>
          <t>Q329</t>
        </is>
      </c>
      <c r="S3" s="7" t="inlineStr">
        <is>
          <t>Q429</t>
        </is>
      </c>
      <c r="T3" s="23" t="inlineStr">
        <is>
          <t>FY2027E</t>
        </is>
      </c>
      <c r="U3" s="23" t="inlineStr">
        <is>
          <t>FY2028E</t>
        </is>
      </c>
      <c r="V3" s="23" t="inlineStr">
        <is>
          <t>FY2029E</t>
        </is>
      </c>
    </row>
    <row r="4">
      <c r="A4" s="24" t="inlineStr">
        <is>
          <t>Hyperscale</t>
        </is>
      </c>
      <c r="B4" s="9" t="n"/>
      <c r="C4" s="9" t="n"/>
      <c r="D4" s="9" t="n">
        <v>17599</v>
      </c>
      <c r="E4" s="9" t="n">
        <v>24168</v>
      </c>
      <c r="F4" s="9" t="n"/>
      <c r="G4" s="9" t="n"/>
      <c r="H4" s="9" t="n">
        <v>37869</v>
      </c>
      <c r="I4" s="9" t="n">
        <v>48710</v>
      </c>
      <c r="J4" s="10" t="n">
        <v>54673</v>
      </c>
      <c r="K4" s="10" t="n">
        <v>60960</v>
      </c>
      <c r="L4" s="10" t="n">
        <v>63710</v>
      </c>
      <c r="M4" s="10" t="n">
        <v>66898</v>
      </c>
      <c r="N4" s="10" t="n">
        <v>69569</v>
      </c>
      <c r="O4" s="10" t="n">
        <v>72348</v>
      </c>
      <c r="P4" s="10" t="n"/>
      <c r="Q4" s="10" t="n"/>
      <c r="R4" s="10" t="n"/>
      <c r="S4" s="10" t="n"/>
      <c r="T4" s="25">
        <f>H4+I4+J4+K4</f>
        <v/>
      </c>
      <c r="U4" s="25">
        <f>L4+M4+N4+O4</f>
        <v/>
      </c>
      <c r="V4" s="25">
        <f>P4+Q4+R4+S4</f>
        <v/>
      </c>
    </row>
    <row r="5">
      <c r="A5" s="24" t="inlineStr">
        <is>
          <t>AI Clouds, Industrial, &amp; Enterprise</t>
        </is>
      </c>
      <c r="B5" s="9" t="n"/>
      <c r="C5" s="9" t="n"/>
      <c r="D5" s="9" t="n">
        <v>21513</v>
      </c>
      <c r="E5" s="9" t="n">
        <v>16928</v>
      </c>
      <c r="F5" s="9" t="n"/>
      <c r="G5" s="9" t="n"/>
      <c r="H5" s="9" t="n">
        <v>37377</v>
      </c>
      <c r="I5" s="9" t="n">
        <v>40313</v>
      </c>
      <c r="J5" s="10" t="n">
        <v>45248</v>
      </c>
      <c r="K5" s="10" t="n">
        <v>50451</v>
      </c>
      <c r="L5" s="10" t="n">
        <v>52727</v>
      </c>
      <c r="M5" s="10" t="n">
        <v>55366</v>
      </c>
      <c r="N5" s="10" t="n">
        <v>57576</v>
      </c>
      <c r="O5" s="10" t="n">
        <v>59876</v>
      </c>
      <c r="P5" s="10" t="n"/>
      <c r="Q5" s="10" t="n"/>
      <c r="R5" s="10" t="n"/>
      <c r="S5" s="10" t="n"/>
      <c r="T5" s="25">
        <f>H5+I5+J5+K5</f>
        <v/>
      </c>
      <c r="U5" s="25">
        <f>L5+M5+N5+O5</f>
        <v/>
      </c>
      <c r="V5" s="25">
        <f>P5+Q5+R5+S5</f>
        <v/>
      </c>
    </row>
    <row r="6">
      <c r="A6" s="24" t="inlineStr">
        <is>
          <t>Compute</t>
        </is>
      </c>
      <c r="B6" s="9" t="n">
        <v>27644</v>
      </c>
      <c r="C6" s="9" t="n">
        <v>102196</v>
      </c>
      <c r="D6" s="9" t="n"/>
      <c r="E6" s="9" t="n"/>
      <c r="F6" s="9" t="n">
        <v>43028</v>
      </c>
      <c r="G6" s="9" t="n">
        <v>162361</v>
      </c>
      <c r="H6" s="9" t="n"/>
      <c r="I6" s="9" t="n"/>
      <c r="J6" s="10" t="n"/>
      <c r="K6" s="10" t="n"/>
      <c r="L6" s="10" t="n"/>
      <c r="M6" s="10" t="n"/>
      <c r="N6" s="10" t="n"/>
      <c r="O6" s="10" t="n"/>
      <c r="P6" s="10" t="n"/>
      <c r="Q6" s="10" t="n"/>
      <c r="R6" s="10" t="n"/>
      <c r="S6" s="10" t="n"/>
      <c r="T6" s="25">
        <f>H6+I6+J6+K6</f>
        <v/>
      </c>
      <c r="U6" s="25">
        <f>L6+M6+N6+O6</f>
        <v/>
      </c>
      <c r="V6" s="25">
        <f>P6+Q6+R6+S6</f>
        <v/>
      </c>
    </row>
    <row r="7">
      <c r="A7" s="24" t="inlineStr">
        <is>
          <t>Networking</t>
        </is>
      </c>
      <c r="B7" s="9" t="n">
        <v>3127</v>
      </c>
      <c r="C7" s="9" t="n">
        <v>12990</v>
      </c>
      <c r="D7" s="9" t="n"/>
      <c r="E7" s="9" t="n"/>
      <c r="F7" s="9" t="n">
        <v>8187</v>
      </c>
      <c r="G7" s="9" t="n">
        <v>31376</v>
      </c>
      <c r="H7" s="9" t="n"/>
      <c r="I7" s="9" t="n"/>
      <c r="J7" s="10" t="n"/>
      <c r="K7" s="10" t="n"/>
      <c r="L7" s="10" t="n"/>
      <c r="M7" s="10" t="n"/>
      <c r="N7" s="10" t="n"/>
      <c r="O7" s="10" t="n"/>
      <c r="P7" s="10" t="n"/>
      <c r="Q7" s="10" t="n"/>
      <c r="R7" s="10" t="n"/>
      <c r="S7" s="10" t="n"/>
      <c r="T7" s="25">
        <f>H7+I7+J7+K7</f>
        <v/>
      </c>
      <c r="U7" s="25">
        <f>L7+M7+N7+O7</f>
        <v/>
      </c>
      <c r="V7" s="25">
        <f>P7+Q7+R7+S7</f>
        <v/>
      </c>
    </row>
    <row r="8">
      <c r="A8" s="8" t="inlineStr">
        <is>
          <t>Data Center</t>
        </is>
      </c>
      <c r="B8" s="26">
        <f>B4+B5+B6+B7</f>
        <v/>
      </c>
      <c r="C8" s="26">
        <f>C4+C5+C6+C7</f>
        <v/>
      </c>
      <c r="D8" s="26">
        <f>D4+D5+D6+D7</f>
        <v/>
      </c>
      <c r="E8" s="26">
        <f>E4+E5+E6+E7</f>
        <v/>
      </c>
      <c r="F8" s="26">
        <f>F4+F5+F6+F7</f>
        <v/>
      </c>
      <c r="G8" s="26">
        <f>G4+G5+G6+G7</f>
        <v/>
      </c>
      <c r="H8" s="26">
        <f>H4+H5+H6+H7</f>
        <v/>
      </c>
      <c r="I8" s="26">
        <f>I4+I5+I6+I7</f>
        <v/>
      </c>
      <c r="J8" s="26">
        <f>J4+J5+J6+J7</f>
        <v/>
      </c>
      <c r="K8" s="26">
        <f>K4+K5+K6+K7</f>
        <v/>
      </c>
      <c r="L8" s="26">
        <f>L4+L5+L6+L7</f>
        <v/>
      </c>
      <c r="M8" s="26">
        <f>M4+M5+M6+M7</f>
        <v/>
      </c>
      <c r="N8" s="26">
        <f>N4+N5+N6+N7</f>
        <v/>
      </c>
      <c r="O8" s="26">
        <f>O4+O5+O6+O7</f>
        <v/>
      </c>
      <c r="P8" s="26">
        <f>P4+P5+P6+P7</f>
        <v/>
      </c>
      <c r="Q8" s="26">
        <f>Q4+Q5+Q6+Q7</f>
        <v/>
      </c>
      <c r="R8" s="26">
        <f>R4+R5+R6+R7</f>
        <v/>
      </c>
      <c r="S8" s="26">
        <f>S4+S5+S6+S7</f>
        <v/>
      </c>
      <c r="T8" s="25">
        <f>H8+I8+J8+K8</f>
        <v/>
      </c>
      <c r="U8" s="25">
        <f>L8+M8+N8+O8</f>
        <v/>
      </c>
      <c r="V8" s="25">
        <f>P8+Q8+R8+S8</f>
        <v/>
      </c>
    </row>
    <row r="9">
      <c r="A9" s="8" t="inlineStr">
        <is>
          <t>Edge Computing</t>
        </is>
      </c>
      <c r="B9" s="9" t="n"/>
      <c r="C9" s="9" t="n"/>
      <c r="D9" s="9" t="n">
        <v>4950</v>
      </c>
      <c r="E9" s="9" t="n">
        <v>5647</v>
      </c>
      <c r="F9" s="9" t="n"/>
      <c r="G9" s="9" t="n"/>
      <c r="H9" s="9" t="n">
        <v>6369</v>
      </c>
      <c r="I9" s="9" t="n">
        <v>7198</v>
      </c>
      <c r="J9" s="10" t="n">
        <v>8079</v>
      </c>
      <c r="K9" s="10" t="n">
        <v>9008</v>
      </c>
      <c r="L9" s="10" t="n">
        <v>9415</v>
      </c>
      <c r="M9" s="10" t="n">
        <v>9886</v>
      </c>
      <c r="N9" s="10" t="n">
        <v>10280</v>
      </c>
      <c r="O9" s="10" t="n">
        <v>10691</v>
      </c>
      <c r="P9" s="10" t="n"/>
      <c r="Q9" s="10" t="n"/>
      <c r="R9" s="10" t="n"/>
      <c r="S9" s="10" t="n"/>
      <c r="T9" s="25">
        <f>H9+I9+J9+K9</f>
        <v/>
      </c>
      <c r="U9" s="25">
        <f>L9+M9+N9+O9</f>
        <v/>
      </c>
      <c r="V9" s="25">
        <f>P9+Q9+R9+S9</f>
        <v/>
      </c>
    </row>
    <row r="10">
      <c r="A10" s="8" t="inlineStr">
        <is>
          <t>Gaming</t>
        </is>
      </c>
      <c r="B10" s="9" t="n">
        <v>3279</v>
      </c>
      <c r="C10" s="9" t="n">
        <v>11350</v>
      </c>
      <c r="D10" s="9" t="n"/>
      <c r="E10" s="9" t="n"/>
      <c r="F10" s="9" t="n">
        <v>4265</v>
      </c>
      <c r="G10" s="9" t="n">
        <v>16042</v>
      </c>
      <c r="H10" s="9" t="n"/>
      <c r="I10" s="9" t="n"/>
      <c r="J10" s="10" t="n"/>
      <c r="K10" s="10" t="n"/>
      <c r="L10" s="10" t="n"/>
      <c r="M10" s="10" t="n"/>
      <c r="N10" s="10" t="n"/>
      <c r="O10" s="10" t="n"/>
      <c r="P10" s="10" t="n"/>
      <c r="Q10" s="10" t="n"/>
      <c r="R10" s="10" t="n"/>
      <c r="S10" s="10" t="n"/>
      <c r="T10" s="25">
        <f>H10+I10+J10+K10</f>
        <v/>
      </c>
      <c r="U10" s="25">
        <f>L10+M10+N10+O10</f>
        <v/>
      </c>
      <c r="V10" s="25">
        <f>P10+Q10+R10+S10</f>
        <v/>
      </c>
    </row>
    <row r="11">
      <c r="A11" s="8" t="inlineStr">
        <is>
          <t>Professional Visualization</t>
        </is>
      </c>
      <c r="B11" s="9" t="n">
        <v>486</v>
      </c>
      <c r="C11" s="9" t="n">
        <v>1878</v>
      </c>
      <c r="D11" s="9" t="n"/>
      <c r="E11" s="9" t="n"/>
      <c r="F11" s="9" t="n">
        <v>760</v>
      </c>
      <c r="G11" s="9" t="n">
        <v>3191</v>
      </c>
      <c r="H11" s="9" t="n"/>
      <c r="I11" s="9" t="n"/>
      <c r="J11" s="10" t="n"/>
      <c r="K11" s="10" t="n"/>
      <c r="L11" s="10" t="n"/>
      <c r="M11" s="10" t="n"/>
      <c r="N11" s="10" t="n"/>
      <c r="O11" s="10" t="n"/>
      <c r="P11" s="10" t="n"/>
      <c r="Q11" s="10" t="n"/>
      <c r="R11" s="10" t="n"/>
      <c r="S11" s="10" t="n"/>
      <c r="T11" s="25">
        <f>H11+I11+J11+K11</f>
        <v/>
      </c>
      <c r="U11" s="25">
        <f>L11+M11+N11+O11</f>
        <v/>
      </c>
      <c r="V11" s="25">
        <f>P11+Q11+R11+S11</f>
        <v/>
      </c>
    </row>
    <row r="12">
      <c r="A12" s="8" t="inlineStr">
        <is>
          <t>Automotive</t>
        </is>
      </c>
      <c r="B12" s="9" t="n">
        <v>449</v>
      </c>
      <c r="C12" s="9" t="n">
        <v>1694</v>
      </c>
      <c r="D12" s="9" t="n"/>
      <c r="E12" s="9" t="n"/>
      <c r="F12" s="9" t="n">
        <v>592</v>
      </c>
      <c r="G12" s="9" t="n">
        <v>2349</v>
      </c>
      <c r="H12" s="9" t="n"/>
      <c r="I12" s="9" t="n"/>
      <c r="J12" s="10" t="n"/>
      <c r="K12" s="10" t="n"/>
      <c r="L12" s="10" t="n"/>
      <c r="M12" s="10" t="n"/>
      <c r="N12" s="10" t="n"/>
      <c r="O12" s="10" t="n"/>
      <c r="P12" s="10" t="n"/>
      <c r="Q12" s="10" t="n"/>
      <c r="R12" s="10" t="n"/>
      <c r="S12" s="10" t="n"/>
      <c r="T12" s="25">
        <f>H12+I12+J12+K12</f>
        <v/>
      </c>
      <c r="U12" s="25">
        <f>L12+M12+N12+O12</f>
        <v/>
      </c>
      <c r="V12" s="25">
        <f>P12+Q12+R12+S12</f>
        <v/>
      </c>
    </row>
    <row r="13">
      <c r="A13" s="8" t="inlineStr">
        <is>
          <t>OEM and Other</t>
        </is>
      </c>
      <c r="B13" s="9" t="n">
        <v>97</v>
      </c>
      <c r="C13" s="9" t="n">
        <v>389</v>
      </c>
      <c r="D13" s="9" t="n"/>
      <c r="E13" s="9" t="n"/>
      <c r="F13" s="9" t="n">
        <v>174</v>
      </c>
      <c r="G13" s="9" t="n">
        <v>619</v>
      </c>
      <c r="H13" s="9" t="n"/>
      <c r="I13" s="9" t="n"/>
      <c r="J13" s="10" t="n"/>
      <c r="K13" s="10" t="n"/>
      <c r="L13" s="10" t="n"/>
      <c r="M13" s="10" t="n"/>
      <c r="N13" s="10" t="n"/>
      <c r="O13" s="10" t="n"/>
      <c r="P13" s="10" t="n"/>
      <c r="Q13" s="10" t="n"/>
      <c r="R13" s="10" t="n"/>
      <c r="S13" s="10" t="n"/>
      <c r="T13" s="25">
        <f>H13+I13+J13+K13</f>
        <v/>
      </c>
      <c r="U13" s="25">
        <f>L13+M13+N13+O13</f>
        <v/>
      </c>
      <c r="V13" s="25">
        <f>P13+Q13+R13+S13</f>
        <v/>
      </c>
    </row>
    <row r="14">
      <c r="T14" s="25">
        <f>H14+I14+J14+K14</f>
        <v/>
      </c>
      <c r="U14" s="25">
        <f>L14+M14+N14+O14</f>
        <v/>
      </c>
      <c r="V14" s="25">
        <f>P14+Q14+R14+S14</f>
        <v/>
      </c>
    </row>
    <row r="15">
      <c r="A15" s="27" t="inlineStr">
        <is>
          <t>Total Revenue (Driver-Based)</t>
        </is>
      </c>
      <c r="B15" s="28">
        <f>B8+B9+B10+B11+B12+B13</f>
        <v/>
      </c>
      <c r="C15" s="28">
        <f>C8+C9+C10+C11+C12+C13</f>
        <v/>
      </c>
      <c r="D15" s="28">
        <f>D8+D9+D10+D11+D12+D13</f>
        <v/>
      </c>
      <c r="E15" s="28">
        <f>E8+E9+E10+E11+E12+E13</f>
        <v/>
      </c>
      <c r="F15" s="28">
        <f>F8+F9+F10+F11+F12+F13</f>
        <v/>
      </c>
      <c r="G15" s="28">
        <f>G8+G9+G10+G11+G12+G13</f>
        <v/>
      </c>
      <c r="H15" s="28">
        <f>H8+H9+H10+H11+H12+H13</f>
        <v/>
      </c>
      <c r="I15" s="28">
        <f>I8+I9+I10+I11+I12+I13</f>
        <v/>
      </c>
      <c r="J15" s="28">
        <f>J8+J9+J10+J11+J12+J13</f>
        <v/>
      </c>
      <c r="K15" s="28">
        <f>K8+K9+K10+K11+K12+K13</f>
        <v/>
      </c>
      <c r="L15" s="28">
        <f>L8+L9+L10+L11+L12+L13</f>
        <v/>
      </c>
      <c r="M15" s="28">
        <f>M8+M9+M10+M11+M12+M13</f>
        <v/>
      </c>
      <c r="N15" s="28">
        <f>N8+N9+N10+N11+N12+N13</f>
        <v/>
      </c>
      <c r="O15" s="28">
        <f>O8+O9+O10+O11+O12+O13</f>
        <v/>
      </c>
      <c r="P15" s="28">
        <f>P8+P9+P10+P11+P12+P13</f>
        <v/>
      </c>
      <c r="Q15" s="28">
        <f>Q8+Q9+Q10+Q11+Q12+Q13</f>
        <v/>
      </c>
      <c r="R15" s="28">
        <f>R8+R9+R10+R11+R12+R13</f>
        <v/>
      </c>
      <c r="S15" s="28">
        <f>S8+S9+S10+S11+S12+S13</f>
        <v/>
      </c>
      <c r="T15" s="29">
        <f>H15+I15+J15+K15</f>
        <v/>
      </c>
      <c r="U15" s="29">
        <f>L15+M15+N15+O15</f>
        <v/>
      </c>
      <c r="V15" s="29">
        <f>P15+Q15+R15+S15</f>
        <v/>
      </c>
    </row>
    <row r="16"/>
    <row r="17">
      <c r="A17" s="30" t="n"/>
    </row>
    <row r="18">
      <c r="A18" s="31" t="n"/>
    </row>
    <row r="19">
      <c r="A19" s="31" t="n"/>
    </row>
    <row r="20">
      <c r="A20" s="31" t="n"/>
    </row>
    <row r="21">
      <c r="A21" s="31" t="n"/>
    </row>
    <row r="22">
      <c r="A22" s="31" t="n"/>
    </row>
    <row r="23">
      <c r="A23" s="31" t="n"/>
    </row>
    <row r="24">
      <c r="A24" s="31" t="n"/>
    </row>
    <row r="25">
      <c r="A25" s="3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32" t="inlineStr">
        <is>
          <t>Scenario Manager - NVIDIA CORP (NVDA)</t>
        </is>
      </c>
    </row>
    <row r="2">
      <c r="A2" s="33" t="inlineStr">
        <is>
          <t>Edit yellow cells to override Bear/Base/Bull segment revenue ($M). Changes persist across refresh.</t>
        </is>
      </c>
    </row>
    <row r="3"/>
    <row r="4">
      <c r="A4" s="27" t="inlineStr">
        <is>
          <t>SEGMENT REVENUE BY SCENARIO ($M)</t>
        </is>
      </c>
      <c r="B4" s="34" t="n"/>
      <c r="C4" s="34" t="n"/>
      <c r="D4" s="34" t="n"/>
      <c r="E4" s="34" t="n"/>
      <c r="F4" s="34" t="n"/>
      <c r="G4" s="34" t="n"/>
      <c r="H4" s="34" t="n"/>
      <c r="I4" s="34" t="n"/>
      <c r="J4" s="34" t="n"/>
    </row>
    <row r="5">
      <c r="A5" s="8" t="inlineStr">
        <is>
          <t>Segment</t>
        </is>
      </c>
      <c r="B5" s="35" t="inlineStr">
        <is>
          <t>FY27E (2Q) Bear</t>
        </is>
      </c>
      <c r="C5" s="36" t="inlineStr">
        <is>
          <t>FY27E (2Q) Base</t>
        </is>
      </c>
      <c r="D5" s="37" t="inlineStr">
        <is>
          <t>FY27E (2Q) Bull</t>
        </is>
      </c>
      <c r="E5" s="35" t="inlineStr">
        <is>
          <t>FY28E Bear</t>
        </is>
      </c>
      <c r="F5" s="36" t="inlineStr">
        <is>
          <t>FY28E Base</t>
        </is>
      </c>
      <c r="G5" s="37" t="inlineStr">
        <is>
          <t>FY28E Bull</t>
        </is>
      </c>
      <c r="H5" s="35" t="inlineStr">
        <is>
          <t>FY29E Bear</t>
        </is>
      </c>
      <c r="I5" s="36" t="inlineStr">
        <is>
          <t>FY29E Base</t>
        </is>
      </c>
      <c r="J5" s="37" t="inlineStr">
        <is>
          <t>FY29E Bull</t>
        </is>
      </c>
    </row>
    <row r="6">
      <c r="A6" s="38" t="inlineStr">
        <is>
          <t>Hyperscale</t>
        </is>
      </c>
      <c r="B6" s="39" t="n"/>
      <c r="C6" s="39" t="n"/>
      <c r="D6" s="39" t="n"/>
      <c r="E6" s="39" t="n">
        <v>172263.9</v>
      </c>
      <c r="F6" s="39" t="n">
        <v>272525</v>
      </c>
      <c r="G6" s="39" t="n">
        <v>372786.1</v>
      </c>
      <c r="H6" s="39" t="n"/>
      <c r="I6" s="39" t="n"/>
      <c r="J6" s="39" t="n"/>
    </row>
    <row r="7">
      <c r="A7" s="38" t="inlineStr">
        <is>
          <t>AI Clouds, Industrial, &amp; Enterprise</t>
        </is>
      </c>
      <c r="B7" s="39" t="n"/>
      <c r="C7" s="39" t="n"/>
      <c r="D7" s="39" t="n"/>
      <c r="E7" s="39" t="n">
        <v>134145.8</v>
      </c>
      <c r="F7" s="39" t="n">
        <v>225545</v>
      </c>
      <c r="G7" s="39" t="n">
        <v>316944.2</v>
      </c>
      <c r="H7" s="39" t="n"/>
      <c r="I7" s="39" t="n"/>
      <c r="J7" s="39" t="n"/>
    </row>
    <row r="8">
      <c r="A8" s="38" t="inlineStr">
        <is>
          <t>Compute</t>
        </is>
      </c>
      <c r="B8" s="39" t="n"/>
      <c r="C8" s="39" t="n"/>
      <c r="D8" s="39" t="n"/>
      <c r="E8" s="39" t="n"/>
      <c r="F8" s="39" t="n"/>
      <c r="G8" s="39" t="n"/>
      <c r="H8" s="39" t="n"/>
      <c r="I8" s="39" t="n"/>
      <c r="J8" s="39" t="n"/>
    </row>
    <row r="9">
      <c r="A9" s="38" t="inlineStr">
        <is>
          <t>Networking</t>
        </is>
      </c>
      <c r="B9" s="39" t="n"/>
      <c r="C9" s="39" t="n"/>
      <c r="D9" s="39" t="n"/>
      <c r="E9" s="39" t="n"/>
      <c r="F9" s="39" t="n"/>
      <c r="G9" s="39" t="n"/>
      <c r="H9" s="39" t="n"/>
      <c r="I9" s="39" t="n"/>
      <c r="J9" s="39" t="n"/>
    </row>
    <row r="10">
      <c r="A10" s="8" t="inlineStr">
        <is>
          <t>Data Center</t>
        </is>
      </c>
      <c r="B10" s="40">
        <f>B6+B7+B8+B9</f>
        <v/>
      </c>
      <c r="C10" s="40">
        <f>C6+C7+C8+C9</f>
        <v/>
      </c>
      <c r="D10" s="40">
        <f>D6+D7+D8+D9</f>
        <v/>
      </c>
      <c r="E10" s="40">
        <f>E6+E7+E8+E9</f>
        <v/>
      </c>
      <c r="F10" s="40">
        <f>F6+F7+F8+F9</f>
        <v/>
      </c>
      <c r="G10" s="40">
        <f>G6+G7+G8+G9</f>
        <v/>
      </c>
      <c r="H10" s="40">
        <f>H6+H7+H8+H9</f>
        <v/>
      </c>
      <c r="I10" s="40">
        <f>I6+I7+I8+I9</f>
        <v/>
      </c>
      <c r="J10" s="40">
        <f>J6+J7+J8+J9</f>
        <v/>
      </c>
    </row>
    <row r="11">
      <c r="A11" s="41" t="inlineStr">
        <is>
          <t>Edge Computing</t>
        </is>
      </c>
      <c r="B11" s="39" t="n"/>
      <c r="C11" s="39" t="n"/>
      <c r="D11" s="39" t="n"/>
      <c r="E11" s="39" t="n">
        <v>36570.7</v>
      </c>
      <c r="F11" s="39" t="n">
        <v>40272</v>
      </c>
      <c r="G11" s="39" t="n">
        <v>43973.3</v>
      </c>
      <c r="H11" s="39" t="n"/>
      <c r="I11" s="39" t="n"/>
      <c r="J11" s="39" t="n"/>
    </row>
    <row r="12">
      <c r="A12" s="41" t="inlineStr">
        <is>
          <t>Gaming</t>
        </is>
      </c>
      <c r="B12" s="39" t="n"/>
      <c r="C12" s="39" t="n"/>
      <c r="D12" s="39" t="n"/>
      <c r="E12" s="39" t="n"/>
      <c r="F12" s="39" t="n"/>
      <c r="G12" s="39" t="n"/>
      <c r="H12" s="39" t="n"/>
      <c r="I12" s="39" t="n"/>
      <c r="J12" s="39" t="n"/>
    </row>
    <row r="13">
      <c r="A13" s="41" t="inlineStr">
        <is>
          <t>Professional Visualization</t>
        </is>
      </c>
      <c r="B13" s="39" t="n"/>
      <c r="C13" s="39" t="n"/>
      <c r="D13" s="39" t="n"/>
      <c r="E13" s="39" t="n"/>
      <c r="F13" s="39" t="n"/>
      <c r="G13" s="39" t="n"/>
      <c r="H13" s="39" t="n"/>
      <c r="I13" s="39" t="n"/>
      <c r="J13" s="39" t="n"/>
    </row>
    <row r="14">
      <c r="A14" s="41" t="inlineStr">
        <is>
          <t>Automotive</t>
        </is>
      </c>
      <c r="B14" s="39" t="n"/>
      <c r="C14" s="39" t="n"/>
      <c r="D14" s="39" t="n"/>
      <c r="E14" s="39" t="n"/>
      <c r="F14" s="39" t="n"/>
      <c r="G14" s="39" t="n"/>
      <c r="H14" s="39" t="n"/>
      <c r="I14" s="39" t="n"/>
      <c r="J14" s="39" t="n"/>
    </row>
    <row r="15">
      <c r="A15" s="41" t="inlineStr">
        <is>
          <t>OEM and Other</t>
        </is>
      </c>
      <c r="B15" s="39" t="n"/>
      <c r="C15" s="39" t="n"/>
      <c r="D15" s="39" t="n"/>
      <c r="E15" s="39" t="n"/>
      <c r="F15" s="39" t="n"/>
      <c r="G15" s="39" t="n"/>
      <c r="H15" s="39" t="n"/>
      <c r="I15" s="39" t="n"/>
      <c r="J15" s="39" t="n"/>
    </row>
    <row r="16"/>
    <row r="17">
      <c r="A17" s="42" t="inlineStr">
        <is>
          <t>TOTAL REVENUE</t>
        </is>
      </c>
      <c r="B17" s="43">
        <f>B10+B11+B12+B13+B14+B15</f>
        <v/>
      </c>
      <c r="C17" s="43">
        <f>C10+C11+C12+C13+C14+C15</f>
        <v/>
      </c>
      <c r="D17" s="43">
        <f>D10+D11+D12+D13+D14+D15</f>
        <v/>
      </c>
      <c r="E17" s="43">
        <f>E10+E11+E12+E13+E14+E15</f>
        <v/>
      </c>
      <c r="F17" s="43">
        <f>F10+F11+F12+F13+F14+F15</f>
        <v/>
      </c>
      <c r="G17" s="43">
        <f>G10+G11+G12+G13+G14+G15</f>
        <v/>
      </c>
      <c r="H17" s="43">
        <f>H10+H11+H12+H13+H14+H15</f>
        <v/>
      </c>
      <c r="I17" s="43">
        <f>I10+I11+I12+I13+I14+I15</f>
        <v/>
      </c>
      <c r="J17" s="43">
        <f>J10+J11+J12+J13+J14+J15</f>
        <v/>
      </c>
    </row>
    <row r="18"/>
    <row r="19">
      <c r="A19" s="44" t="inlineStr">
        <is>
          <t>SCENARIO NARRATIVES</t>
        </is>
      </c>
      <c r="B19" s="45" t="n"/>
      <c r="C19" s="45" t="n"/>
      <c r="D19" s="45" t="n"/>
      <c r="E19" s="45" t="n"/>
      <c r="F19" s="45" t="n"/>
      <c r="G19" s="45" t="n"/>
      <c r="H19" s="45" t="n"/>
      <c r="I19" s="45" t="n"/>
      <c r="J19" s="45" t="n"/>
    </row>
    <row r="20">
      <c r="A20" s="41" t="inlineStr">
        <is>
          <t>Bear thesis:</t>
        </is>
      </c>
      <c r="B20" s="46" t="n"/>
    </row>
    <row r="21">
      <c r="A21" s="41" t="inlineStr">
        <is>
          <t>Bull thesis:</t>
        </is>
      </c>
      <c r="B21" s="46" t="n"/>
    </row>
    <row r="22"/>
    <row r="23">
      <c r="A23" s="33" t="n"/>
    </row>
    <row r="24">
      <c r="A24" s="33" t="inlineStr">
        <is>
          <t>1. Yellow cells = your overrides for each scenario's segment revenue</t>
        </is>
      </c>
    </row>
    <row r="25">
      <c r="A25" s="33" t="inlineStr">
        <is>
          <t>2. Defaults from drivers section (Base) and segment volatility (Bear/Bull)</t>
        </is>
      </c>
    </row>
    <row r="26">
      <c r="A26" s="33" t="inlineStr">
        <is>
          <t>3. These values flow into DCF Bear/Base/Bull scenarios on next refresh</t>
        </is>
      </c>
    </row>
    <row r="27">
      <c r="A27" s="33" t="n"/>
    </row>
  </sheetData>
  <mergeCells count="2">
    <mergeCell ref="B21:J21"/>
    <mergeCell ref="B20:J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9"/>
  <sheetViews>
    <sheetView workbookViewId="0">
      <selection activeCell="A1" sqref="A1"/>
    </sheetView>
  </sheetViews>
  <sheetFormatPr baseColWidth="8" defaultRowHeight="15"/>
  <cols>
    <col width="22" customWidth="1" min="1" max="1"/>
    <col width="16" customWidth="1" min="2" max="2"/>
    <col width="14" customWidth="1" min="3" max="3"/>
    <col width="14" customWidth="1" min="4" max="4"/>
    <col width="14" customWidth="1" min="5" max="5"/>
    <col width="14" customWidth="1" min="6" max="6"/>
    <col width="14" customWidth="1" min="7" max="7"/>
    <col width="14" customWidth="1" min="8" max="8"/>
  </cols>
  <sheetData>
    <row r="1">
      <c r="A1" s="32" t="inlineStr">
        <is>
          <t>DCF Valuation — NVIDIA CORP (NVDA)</t>
        </is>
      </c>
    </row>
    <row r="2"/>
    <row r="3">
      <c r="A3" s="1" t="inlineStr">
        <is>
          <t>ASSUMPTIONS</t>
        </is>
      </c>
    </row>
    <row r="4">
      <c r="A4" t="inlineStr">
        <is>
          <t>WACC</t>
        </is>
      </c>
      <c r="B4" s="47" t="n">
        <v>0.1146510108547472</v>
      </c>
    </row>
    <row r="5">
      <c r="A5" t="inlineStr">
        <is>
          <t>Terminal Growth Rate</t>
        </is>
      </c>
      <c r="B5" s="47" t="n">
        <v>0.035</v>
      </c>
    </row>
    <row r="6">
      <c r="A6" t="inlineStr">
        <is>
          <t>Tax Rate</t>
        </is>
      </c>
      <c r="B6" s="47" t="n">
        <v>0.1604612089978411</v>
      </c>
    </row>
    <row r="7">
      <c r="A7" t="inlineStr">
        <is>
          <t>Operating Margin (TTM)</t>
        </is>
      </c>
      <c r="B7" s="47" t="n">
        <v>0.6521426284537362</v>
      </c>
    </row>
    <row r="8">
      <c r="A8" t="inlineStr">
        <is>
          <t>CapEx % of Revenue</t>
        </is>
      </c>
      <c r="B8" s="47" t="n">
        <v>0.02427311045024409</v>
      </c>
    </row>
    <row r="9">
      <c r="A9" t="inlineStr">
        <is>
          <t>Maintenance CapEx %</t>
        </is>
      </c>
      <c r="B9" s="47" t="n">
        <v>0.01820483283768307</v>
      </c>
    </row>
    <row r="10">
      <c r="A10" t="inlineStr">
        <is>
          <t>D&amp;A % of Revenue</t>
        </is>
      </c>
      <c r="B10" s="47" t="n">
        <v>0.01216956190237285</v>
      </c>
    </row>
    <row r="11">
      <c r="A11" t="inlineStr">
        <is>
          <t>NWC % of Revenue</t>
        </is>
      </c>
      <c r="B11" s="47" t="n">
        <v>0.06546214299152718</v>
      </c>
    </row>
    <row r="12">
      <c r="A12" t="inlineStr">
        <is>
          <t>SBC % of Revenue</t>
        </is>
      </c>
      <c r="B12" s="47" t="n">
        <v>0.02390013499730996</v>
      </c>
    </row>
    <row r="13">
      <c r="A13" t="inlineStr">
        <is>
          <t>Net Dilution Rate (SBC - Buybacks)</t>
        </is>
      </c>
      <c r="B13" s="47" t="n">
        <v>-0.008642512593634551</v>
      </c>
    </row>
    <row r="14"/>
    <row r="15">
      <c r="A15" s="1" t="inlineStr">
        <is>
          <t>WACC BUILD</t>
        </is>
      </c>
    </row>
    <row r="16">
      <c r="A16" s="48" t="inlineStr">
        <is>
          <t>Risk-Free Rate (Rf)</t>
        </is>
      </c>
      <c r="B16" s="49" t="n">
        <v>0.0478</v>
      </c>
    </row>
    <row r="17">
      <c r="A17" s="48" t="inlineStr">
        <is>
          <t>Equity Risk Premium (ERP)</t>
        </is>
      </c>
      <c r="B17" s="49" t="n">
        <v>0.0414</v>
      </c>
    </row>
    <row r="18">
      <c r="A18" s="48" t="inlineStr">
        <is>
          <t>Raw Beta</t>
        </is>
      </c>
      <c r="B18" s="50" t="n">
        <v>1.887</v>
      </c>
    </row>
    <row r="19">
      <c r="A19" s="48" t="inlineStr">
        <is>
          <t>Blume-Adjusted Beta (Own)</t>
        </is>
      </c>
      <c r="B19" s="50" t="n">
        <v>1.591333333333333</v>
      </c>
    </row>
    <row r="20">
      <c r="A20" s="48" t="inlineStr">
        <is>
          <t>Peer Blume Beta</t>
        </is>
      </c>
      <c r="B20" s="50" t="n">
        <v>1.660464748204461</v>
      </c>
    </row>
    <row r="21">
      <c r="A21" s="48" t="inlineStr">
        <is>
          <t>Blended Beta</t>
        </is>
      </c>
      <c r="B21" s="50" t="n">
        <v>1.625899040768897</v>
      </c>
    </row>
    <row r="22">
      <c r="A22" s="48" t="inlineStr">
        <is>
          <t>Cost of Equity (Ke = Rf + β×ERP)</t>
        </is>
      </c>
      <c r="B22" s="49" t="n">
        <v>0.1151122202878323</v>
      </c>
    </row>
    <row r="23">
      <c r="A23" s="48" t="inlineStr">
        <is>
          <t>Pre-Tax Cost of Debt</t>
        </is>
      </c>
      <c r="B23" s="49" t="n">
        <v>0.0478</v>
      </c>
    </row>
    <row r="24">
      <c r="A24" s="48" t="inlineStr">
        <is>
          <t>After-Tax Cost of Debt</t>
        </is>
      </c>
      <c r="B24" s="49" t="n">
        <v>0.037762</v>
      </c>
    </row>
    <row r="25">
      <c r="A25" s="48" t="inlineStr">
        <is>
          <t>Equity Weight (E/V)</t>
        </is>
      </c>
      <c r="B25" s="49" t="n">
        <v>0.9940373869477183</v>
      </c>
    </row>
    <row r="26">
      <c r="A26" s="48" t="inlineStr">
        <is>
          <t>Debt Weight (D/V)</t>
        </is>
      </c>
      <c r="B26" s="49" t="n">
        <v>0.00596261305228174</v>
      </c>
    </row>
    <row r="27">
      <c r="A27" s="48" t="inlineStr">
        <is>
          <t>→ WACC = (E/V)×Ke + (D/V)×Kd×(1-t)</t>
        </is>
      </c>
      <c r="B27" s="49" t="n">
        <v>0.1146510108547472</v>
      </c>
    </row>
    <row r="28">
      <c r="A28" s="48" t="inlineStr">
        <is>
          <t>Beta:</t>
        </is>
      </c>
      <c r="B28" s="48" t="inlineStr">
        <is>
          <t>Peer-blended (curated)</t>
        </is>
      </c>
    </row>
    <row r="29">
      <c r="A29" s="48" t="n"/>
      <c r="B29" s="48" t="n"/>
    </row>
    <row r="30"/>
    <row r="31">
      <c r="A31" s="1" t="inlineStr">
        <is>
          <t>Revenue Growth Rates:</t>
        </is>
      </c>
    </row>
    <row r="32">
      <c r="A32" t="inlineStr">
        <is>
          <t>Year 1</t>
        </is>
      </c>
      <c r="B32" s="47" t="n">
        <v>0.3409</v>
      </c>
    </row>
    <row r="33">
      <c r="A33" t="inlineStr">
        <is>
          <t>Year 2</t>
        </is>
      </c>
      <c r="B33" s="47" t="n">
        <v>0.3251</v>
      </c>
    </row>
    <row r="34">
      <c r="A34" t="inlineStr">
        <is>
          <t>Year 3</t>
        </is>
      </c>
      <c r="B34" s="47" t="n">
        <v>0.2499</v>
      </c>
    </row>
    <row r="35">
      <c r="A35" t="inlineStr">
        <is>
          <t>Year 4</t>
        </is>
      </c>
      <c r="B35" s="47" t="n">
        <v>0.1102</v>
      </c>
    </row>
    <row r="36">
      <c r="A36" t="inlineStr">
        <is>
          <t>Year 5</t>
        </is>
      </c>
      <c r="B36" s="47" t="n">
        <v>0.035</v>
      </c>
    </row>
    <row r="37"/>
    <row r="38">
      <c r="A38" s="1" t="inlineStr">
        <is>
          <t>TTM FINANCIALS ($M)</t>
        </is>
      </c>
    </row>
    <row r="39">
      <c r="A39" t="inlineStr">
        <is>
          <t>Revenue</t>
        </is>
      </c>
      <c r="B39" s="51" t="n">
        <v>302969</v>
      </c>
    </row>
    <row r="40">
      <c r="A40" t="inlineStr">
        <is>
          <t>Operating Income</t>
        </is>
      </c>
      <c r="B40" s="51" t="n">
        <v>197579</v>
      </c>
    </row>
    <row r="41">
      <c r="A41" t="inlineStr">
        <is>
          <t>Net Income</t>
        </is>
      </c>
      <c r="B41" s="51" t="n">
        <v>192879</v>
      </c>
    </row>
    <row r="42">
      <c r="A42" t="inlineStr">
        <is>
          <t>Stock-Based Comp</t>
        </is>
      </c>
      <c r="B42" s="51" t="n">
        <v>7241</v>
      </c>
    </row>
    <row r="43">
      <c r="A43" t="inlineStr">
        <is>
          <t>Share Buybacks</t>
        </is>
      </c>
      <c r="B43" s="51" t="n">
        <v>55315</v>
      </c>
    </row>
    <row r="44">
      <c r="A44" t="inlineStr">
        <is>
          <t>CFFO</t>
        </is>
      </c>
      <c r="B44" s="51" t="n">
        <v>134360</v>
      </c>
    </row>
    <row r="45">
      <c r="A45" t="inlineStr">
        <is>
          <t>CapEx</t>
        </is>
      </c>
      <c r="B45" s="51" t="n">
        <v>7354</v>
      </c>
    </row>
    <row r="46">
      <c r="A46" t="inlineStr">
        <is>
          <t>Cash</t>
        </is>
      </c>
      <c r="B46" s="51" t="n">
        <v>22443</v>
      </c>
    </row>
    <row r="47">
      <c r="A47" t="inlineStr">
        <is>
          <t>Debt</t>
        </is>
      </c>
      <c r="B47" s="51" t="n">
        <v>33366</v>
      </c>
    </row>
    <row r="48">
      <c r="A48" t="inlineStr">
        <is>
          <t>Shares Outstanding</t>
        </is>
      </c>
      <c r="B48" s="51" t="n">
        <v>24285000000</v>
      </c>
    </row>
    <row r="49"/>
    <row r="50">
      <c r="A50" s="1" t="inlineStr">
        <is>
          <t>PROJECTED FREE CASH FLOW ($M)</t>
        </is>
      </c>
    </row>
    <row r="51">
      <c r="A51" s="1" t="inlineStr"/>
      <c r="B51" s="1" t="inlineStr">
        <is>
          <t>TTM</t>
        </is>
      </c>
      <c r="C51" s="1" t="inlineStr">
        <is>
          <t>Year 1</t>
        </is>
      </c>
      <c r="D51" s="1" t="inlineStr">
        <is>
          <t>Year 2</t>
        </is>
      </c>
      <c r="E51" s="1" t="inlineStr">
        <is>
          <t>Year 3</t>
        </is>
      </c>
      <c r="F51" s="1" t="inlineStr">
        <is>
          <t>Year 4</t>
        </is>
      </c>
      <c r="G51" s="1" t="inlineStr">
        <is>
          <t>Year 5</t>
        </is>
      </c>
    </row>
    <row r="52">
      <c r="A52" t="inlineStr">
        <is>
          <t>Revenue Growth</t>
        </is>
      </c>
      <c r="C52" s="49">
        <f>$B$32</f>
        <v/>
      </c>
      <c r="D52" s="49">
        <f>$B$33</f>
        <v/>
      </c>
      <c r="E52" s="49">
        <f>$B$34</f>
        <v/>
      </c>
      <c r="F52" s="49">
        <f>$B$35</f>
        <v/>
      </c>
      <c r="G52" s="49">
        <f>$B$36</f>
        <v/>
      </c>
    </row>
    <row r="53">
      <c r="A53" t="inlineStr">
        <is>
          <t>Revenue</t>
        </is>
      </c>
      <c r="B53" s="51" t="n">
        <v>302969</v>
      </c>
      <c r="C53" s="51">
        <f>B53*(1+C52)</f>
        <v/>
      </c>
      <c r="D53" s="51">
        <f>C53*(1+D52)</f>
        <v/>
      </c>
      <c r="E53" s="51">
        <f>D53*(1+E52)</f>
        <v/>
      </c>
      <c r="F53" s="51">
        <f>E53*(1+F52)</f>
        <v/>
      </c>
      <c r="G53" s="51">
        <f>F53*(1+G52)</f>
        <v/>
      </c>
    </row>
    <row r="54">
      <c r="A54" t="inlineStr">
        <is>
          <t>Operating Margin</t>
        </is>
      </c>
      <c r="B54" s="49" t="n">
        <v>0.6521426284537362</v>
      </c>
      <c r="C54" s="47" t="n">
        <v>0.6521</v>
      </c>
      <c r="D54" s="47" t="n">
        <v>0.6521</v>
      </c>
      <c r="E54" s="47" t="n">
        <v>0.6521</v>
      </c>
      <c r="F54" s="47" t="n">
        <v>0.6521</v>
      </c>
      <c r="G54" s="47" t="n">
        <v>0.6521</v>
      </c>
    </row>
    <row r="55">
      <c r="A55" t="inlineStr">
        <is>
          <t>Operating Income</t>
        </is>
      </c>
      <c r="B55" s="51" t="n">
        <v>197579</v>
      </c>
      <c r="C55" s="51">
        <f>C53*C54</f>
        <v/>
      </c>
      <c r="D55" s="51">
        <f>D53*D54</f>
        <v/>
      </c>
      <c r="E55" s="51">
        <f>E53*E54</f>
        <v/>
      </c>
      <c r="F55" s="51">
        <f>F53*F54</f>
        <v/>
      </c>
      <c r="G55" s="51">
        <f>G53*G54</f>
        <v/>
      </c>
    </row>
    <row r="56">
      <c r="A56" t="inlineStr">
        <is>
          <t>NOPAT</t>
        </is>
      </c>
      <c r="C56" s="51">
        <f>C55*(1-$B$6)</f>
        <v/>
      </c>
      <c r="D56" s="51">
        <f>D55*(1-$B$6)</f>
        <v/>
      </c>
      <c r="E56" s="51">
        <f>E55*(1-$B$6)</f>
        <v/>
      </c>
      <c r="F56" s="51">
        <f>F55*(1-$B$6)</f>
        <v/>
      </c>
      <c r="G56" s="51">
        <f>G55*(1-$B$6)</f>
        <v/>
      </c>
    </row>
    <row r="57">
      <c r="A57" t="inlineStr">
        <is>
          <t>D&amp;A</t>
        </is>
      </c>
      <c r="C57" s="51">
        <f>C53*$B$10</f>
        <v/>
      </c>
      <c r="D57" s="51">
        <f>D53*$B$10</f>
        <v/>
      </c>
      <c r="E57" s="51">
        <f>E53*$B$10</f>
        <v/>
      </c>
      <c r="F57" s="51">
        <f>F53*$B$10</f>
        <v/>
      </c>
      <c r="G57" s="51">
        <f>G53*$B$10</f>
        <v/>
      </c>
    </row>
    <row r="58">
      <c r="A58" t="inlineStr">
        <is>
          <t>CapEx</t>
        </is>
      </c>
      <c r="C58" s="51">
        <f>C53*C59</f>
        <v/>
      </c>
      <c r="D58" s="51">
        <f>D53*D59</f>
        <v/>
      </c>
      <c r="E58" s="51">
        <f>E53*E59</f>
        <v/>
      </c>
      <c r="F58" s="51">
        <f>F53*F59</f>
        <v/>
      </c>
      <c r="G58" s="51">
        <f>G53*G59</f>
        <v/>
      </c>
    </row>
    <row r="59">
      <c r="A59" t="inlineStr">
        <is>
          <t>CapEx %</t>
        </is>
      </c>
      <c r="C59" s="47" t="n">
        <v>0.0243</v>
      </c>
      <c r="D59" s="47" t="n">
        <v>0.0228</v>
      </c>
      <c r="E59" s="47" t="n">
        <v>0.0212</v>
      </c>
      <c r="F59" s="47" t="n">
        <v>0.0197</v>
      </c>
      <c r="G59" s="47" t="n">
        <v>0.0182</v>
      </c>
    </row>
    <row r="60">
      <c r="A60" t="inlineStr">
        <is>
          <t>Change in NWC</t>
        </is>
      </c>
      <c r="C60" s="51">
        <f>$B$11*(C53-B53)</f>
        <v/>
      </c>
      <c r="D60" s="51">
        <f>$B$11*(D53-C53)</f>
        <v/>
      </c>
      <c r="E60" s="51">
        <f>$B$11*(E53-D53)</f>
        <v/>
      </c>
      <c r="F60" s="51">
        <f>$B$11*(F53-E53)</f>
        <v/>
      </c>
      <c r="G60" s="51">
        <f>$B$11*(G53-F53)</f>
        <v/>
      </c>
    </row>
    <row r="61">
      <c r="A61" t="inlineStr">
        <is>
          <t>Stock-Based Comp</t>
        </is>
      </c>
      <c r="C61" s="51">
        <f>C53*$B$12</f>
        <v/>
      </c>
      <c r="D61" s="51">
        <f>D53*$B$12</f>
        <v/>
      </c>
      <c r="E61" s="51">
        <f>E53*$B$12</f>
        <v/>
      </c>
      <c r="F61" s="51">
        <f>F53*$B$12</f>
        <v/>
      </c>
      <c r="G61" s="51">
        <f>G53*$B$12</f>
        <v/>
      </c>
    </row>
    <row r="62">
      <c r="A62" t="inlineStr">
        <is>
          <t>Free Cash Flow</t>
        </is>
      </c>
      <c r="C62" s="51">
        <f>C56+C57-C58-C60-C61</f>
        <v/>
      </c>
      <c r="D62" s="51">
        <f>D56+D57-D58-D60-D61</f>
        <v/>
      </c>
      <c r="E62" s="51">
        <f>E56+E57-E58-E60-E61</f>
        <v/>
      </c>
      <c r="F62" s="51">
        <f>F56+F57-F58-F60-F61</f>
        <v/>
      </c>
      <c r="G62" s="51">
        <f>G56+G57-G58-G60-G61</f>
        <v/>
      </c>
    </row>
    <row r="63">
      <c r="A63" t="inlineStr">
        <is>
          <t>FCF Margin</t>
        </is>
      </c>
      <c r="C63" s="49">
        <f>IF(C53&lt;&gt;0,C62/C53,0)</f>
        <v/>
      </c>
      <c r="D63" s="49">
        <f>IF(D53&lt;&gt;0,D62/D53,0)</f>
        <v/>
      </c>
      <c r="E63" s="49">
        <f>IF(E53&lt;&gt;0,E62/E53,0)</f>
        <v/>
      </c>
      <c r="F63" s="49">
        <f>IF(F53&lt;&gt;0,F62/F53,0)</f>
        <v/>
      </c>
      <c r="G63" s="49">
        <f>IF(G53&lt;&gt;0,G62/G53,0)</f>
        <v/>
      </c>
    </row>
    <row r="64"/>
    <row r="65">
      <c r="A65" s="1" t="inlineStr">
        <is>
          <t>DISCOUNTED CASH FLOWS ($M)</t>
        </is>
      </c>
    </row>
    <row r="66">
      <c r="A66" t="inlineStr">
        <is>
          <t>PV of FCF</t>
        </is>
      </c>
      <c r="C66" s="51">
        <f>C62/(1+$B$4)^1</f>
        <v/>
      </c>
      <c r="D66" s="51">
        <f>D62/(1+$B$4)^2</f>
        <v/>
      </c>
      <c r="E66" s="51">
        <f>E62/(1+$B$4)^3</f>
        <v/>
      </c>
      <c r="F66" s="51">
        <f>F62/(1+$B$4)^4</f>
        <v/>
      </c>
      <c r="G66" s="51">
        <f>G62/(1+$B$4)^5</f>
        <v/>
      </c>
    </row>
    <row r="67">
      <c r="A67" t="inlineStr">
        <is>
          <t>Terminal FCF (normalized)</t>
        </is>
      </c>
      <c r="B67" s="51">
        <f>G53*G54*(1-$B$6)+G53*$B$10-G53*$B$9-$B$11*G53*$B$5-G53*$B$12</f>
        <v/>
      </c>
    </row>
    <row r="68">
      <c r="A68" t="inlineStr">
        <is>
          <t>Terminal Value</t>
        </is>
      </c>
      <c r="B68" s="51">
        <f>B67*(1+$B$5)/($B$4-$B$5)</f>
        <v/>
      </c>
    </row>
    <row r="69">
      <c r="A69" t="inlineStr">
        <is>
          <t>PV of Terminal Value</t>
        </is>
      </c>
      <c r="B69" s="51">
        <f>B68/(1+$B$4)^5</f>
        <v/>
      </c>
    </row>
    <row r="70"/>
    <row r="71">
      <c r="A71" s="1" t="inlineStr">
        <is>
          <t>VALUATION SUMMARY</t>
        </is>
      </c>
    </row>
    <row r="72">
      <c r="A72" t="inlineStr">
        <is>
          <t>Sum of PV(FCFs)</t>
        </is>
      </c>
      <c r="B72" s="51">
        <f>SUM(C66:G66)</f>
        <v/>
      </c>
    </row>
    <row r="73">
      <c r="A73" t="inlineStr">
        <is>
          <t>PV of Terminal Value</t>
        </is>
      </c>
      <c r="B73" s="51">
        <f>B69</f>
        <v/>
      </c>
    </row>
    <row r="74">
      <c r="A74" t="inlineStr">
        <is>
          <t>Enterprise Value</t>
        </is>
      </c>
      <c r="B74" s="51">
        <f>B72+B73</f>
        <v/>
      </c>
    </row>
    <row r="75">
      <c r="A75" t="inlineStr">
        <is>
          <t>Terminal Value % of EV</t>
        </is>
      </c>
      <c r="B75" s="52">
        <f>IF(B74&lt;&gt;0,B73/B74,0)</f>
        <v/>
      </c>
    </row>
    <row r="76">
      <c r="A76" t="inlineStr">
        <is>
          <t>Less: Debt</t>
        </is>
      </c>
      <c r="B76" s="51">
        <f>-B47</f>
        <v/>
      </c>
    </row>
    <row r="77">
      <c r="A77" t="inlineStr">
        <is>
          <t>Plus: Cash</t>
        </is>
      </c>
      <c r="B77" s="51">
        <f>B46</f>
        <v/>
      </c>
    </row>
    <row r="78">
      <c r="A78" t="inlineStr">
        <is>
          <t>Equity Value</t>
        </is>
      </c>
      <c r="B78" s="51">
        <f>B74+B76+B77</f>
        <v/>
      </c>
    </row>
    <row r="79">
      <c r="A79" t="inlineStr">
        <is>
          <t>Current Shares (M)</t>
        </is>
      </c>
      <c r="B79" s="51">
        <f>B48/1000000</f>
        <v/>
      </c>
    </row>
    <row r="80">
      <c r="A80" t="inlineStr">
        <is>
          <t>Shares Used in Per-Share Calc (M)</t>
        </is>
      </c>
      <c r="B80" s="51">
        <f>B79</f>
        <v/>
      </c>
    </row>
    <row r="81">
      <c r="A81" t="inlineStr">
        <is>
          <t>Implied Share Price</t>
        </is>
      </c>
      <c r="B81" s="135">
        <f>IF(B80&lt;&gt;0,B78/B80,0)</f>
        <v/>
      </c>
    </row>
    <row r="82"/>
    <row r="83">
      <c r="A83" s="1" t="inlineStr">
        <is>
          <t>TERMINAL VALUE CROSS-CHECK</t>
        </is>
      </c>
    </row>
    <row r="84">
      <c r="A84" t="inlineStr">
        <is>
          <t>Perpetuity Growth Method</t>
        </is>
      </c>
      <c r="B84" s="51">
        <f>B68</f>
        <v/>
      </c>
    </row>
    <row r="85">
      <c r="A85" t="inlineStr">
        <is>
          <t>Exit Multiple Method (25x EBITDA)</t>
        </is>
      </c>
      <c r="B85" s="51" t="n">
        <v>12836310</v>
      </c>
    </row>
    <row r="86">
      <c r="A86" s="33" t="inlineStr">
        <is>
          <t>Note: Compare both methods. Large gaps suggest fragile assumptions.</t>
        </is>
      </c>
    </row>
    <row r="87">
      <c r="A87" t="inlineStr">
        <is>
          <t>Current Market Price</t>
        </is>
      </c>
      <c r="B87" s="136" t="n">
        <v>230.36</v>
      </c>
    </row>
    <row r="88">
      <c r="A88" t="inlineStr">
        <is>
          <t>Upside / Downside</t>
        </is>
      </c>
      <c r="B88" s="55">
        <f>B81/B87-1</f>
        <v/>
      </c>
    </row>
    <row r="89"/>
    <row r="90">
      <c r="A90" s="56" t="inlineStr">
        <is>
          <t>SCENARIO ANALYSIS</t>
        </is>
      </c>
    </row>
    <row r="91">
      <c r="A91" s="33" t="inlineStr">
        <is>
          <t>Scenarios driven by per-segment historical volatility (1-sigma bands)</t>
        </is>
      </c>
    </row>
    <row r="92">
      <c r="A92" s="1" t="inlineStr"/>
      <c r="B92" s="57" t="inlineStr">
        <is>
          <t>Bear - NVDA supply-bound: TSMC wafer/HBM bottleneck or 3-5yr ASIC erosion (demand confirmed 5/5 hyperscalers 2026)</t>
        </is>
      </c>
      <c r="C92" s="58" t="inlineStr">
        <is>
          <t>Base</t>
        </is>
      </c>
      <c r="D92" s="59" t="inlineStr">
        <is>
          <t>Bull - NVDA supply execution: Blackwell yield gains, earlier Rubin ramp, hyperscalers raise 2026 capex again</t>
        </is>
      </c>
    </row>
    <row r="93">
      <c r="A93" s="8" t="inlineStr">
        <is>
          <t>Implied Share Price</t>
        </is>
      </c>
      <c r="B93" s="137" t="n">
        <v>119.4137963644068</v>
      </c>
      <c r="C93" s="138" t="n">
        <v>167.2033463366086</v>
      </c>
      <c r="D93" s="135" t="n">
        <v>205.0729926535466</v>
      </c>
    </row>
    <row r="94">
      <c r="A94" t="inlineStr">
        <is>
          <t>vs Current Price</t>
        </is>
      </c>
      <c r="B94" s="139" t="n">
        <v>-0.4816209569178383</v>
      </c>
      <c r="C94" s="140" t="n">
        <v>-0.2741650185075162</v>
      </c>
      <c r="D94" s="141" t="n">
        <v>-0.109771693638016</v>
      </c>
    </row>
    <row r="95">
      <c r="A95" s="8" t="inlineStr">
        <is>
          <t>Year 1 Growth</t>
        </is>
      </c>
      <c r="B95" s="49" t="n">
        <v>0.0409</v>
      </c>
      <c r="C95" s="49" t="n">
        <v>0.3409</v>
      </c>
      <c r="D95" s="49" t="n">
        <v>0.6409</v>
      </c>
    </row>
    <row r="96">
      <c r="A96" s="8" t="inlineStr">
        <is>
          <t>Year 5 Growth</t>
        </is>
      </c>
      <c r="B96" s="49" t="n">
        <v>0.035</v>
      </c>
      <c r="C96" s="49" t="n">
        <v>0.035</v>
      </c>
      <c r="D96" s="49" t="n">
        <v>0.035</v>
      </c>
    </row>
    <row r="97">
      <c r="A97" s="8" t="inlineStr">
        <is>
          <t>Terminal Growth</t>
        </is>
      </c>
      <c r="B97" s="49" t="n">
        <v>0.035</v>
      </c>
      <c r="C97" s="49" t="n">
        <v>0.035</v>
      </c>
      <c r="D97" s="49" t="n">
        <v>0.035</v>
      </c>
    </row>
    <row r="98">
      <c r="A98" s="8" t="inlineStr">
        <is>
          <t>Terminal Op Margin</t>
        </is>
      </c>
      <c r="B98" s="65" t="n">
        <v>0.58689</v>
      </c>
      <c r="C98" s="49" t="n">
        <v>0.6521</v>
      </c>
      <c r="D98" s="49" t="n">
        <v>0.6521</v>
      </c>
    </row>
    <row r="99">
      <c r="A99" s="66" t="inlineStr">
        <is>
          <t>AI overlay (bear only; base/bull untouched): terminal margin cut 10%</t>
        </is>
      </c>
    </row>
    <row r="100">
      <c r="A100" s="8" t="inlineStr">
        <is>
          <t>Year 1 Op Margin</t>
        </is>
      </c>
      <c r="B100" s="49" t="n">
        <v>0.6071</v>
      </c>
      <c r="C100" s="49" t="n">
        <v>0.6521</v>
      </c>
      <c r="D100" s="49" t="n">
        <v>0.6821</v>
      </c>
    </row>
    <row r="101">
      <c r="A101" s="8" t="inlineStr">
        <is>
          <t>Year 5 Op Margin</t>
        </is>
      </c>
      <c r="B101" s="49" t="n">
        <v>0.6521</v>
      </c>
      <c r="C101" s="49" t="n">
        <v>0.6521</v>
      </c>
      <c r="D101" s="49" t="n">
        <v>0.6521</v>
      </c>
    </row>
    <row r="102">
      <c r="A102" s="8" t="inlineStr">
        <is>
          <t>Net Dilution (SBC - Buybacks)</t>
        </is>
      </c>
      <c r="B102" s="49" t="n">
        <v>-0.008642512593634551</v>
      </c>
      <c r="C102" s="49" t="n">
        <v>-0.008642512593634551</v>
      </c>
      <c r="D102" s="49" t="n">
        <v>-0.008642512593634551</v>
      </c>
    </row>
    <row r="103"/>
    <row r="104">
      <c r="A104" s="67" t="inlineStr">
        <is>
          <t>MARGIN REVERSION (stress case — base growth, mid-cycle margins)</t>
        </is>
      </c>
    </row>
    <row r="105">
      <c r="A105" s="8" t="inlineStr">
        <is>
          <t>Stress Implied Share Price</t>
        </is>
      </c>
      <c r="B105" s="142" t="n">
        <v>131.4355471303862</v>
      </c>
    </row>
    <row r="106">
      <c r="A106" t="inlineStr">
        <is>
          <t>vs Base Case ($167.20)</t>
        </is>
      </c>
      <c r="B106" s="143" t="n">
        <v>-0.2139179627076109</v>
      </c>
    </row>
    <row r="107">
      <c r="A107" t="inlineStr">
        <is>
          <t>vs Current Market ($230.36)</t>
        </is>
      </c>
      <c r="B107" s="143" t="n">
        <v>-0.4294341590103048</v>
      </c>
    </row>
    <row r="108">
      <c r="A108" s="8" t="inlineStr">
        <is>
          <t>Year 1 → Year N Op Margin</t>
        </is>
      </c>
      <c r="B108" t="inlineStr">
        <is>
          <t>65.2% → 50.0%</t>
        </is>
      </c>
    </row>
    <row r="109" ht="32" customHeight="1">
      <c r="A109" s="33" t="inlineStr">
        <is>
          <t>Holds driver-based revenue growth constant. Fades op margin linearly from TTM to − 5pp. Tests what happens if today's peak margins normalize to mid-cycle without any change in revenue trajectory.</t>
        </is>
      </c>
    </row>
    <row r="110"/>
    <row r="111"/>
    <row r="112">
      <c r="A112" s="56" t="inlineStr">
        <is>
          <t>SENSITIVITY: WACC × Terminal Growth → Implied Price</t>
        </is>
      </c>
    </row>
    <row r="113">
      <c r="A113" s="33" t="inlineStr">
        <is>
          <t>Each cell shows the implied share price under that WACC / Terminal Growth combo</t>
        </is>
      </c>
    </row>
    <row r="114">
      <c r="A114" s="30" t="inlineStr">
        <is>
          <t>WACC ↓ / TGR →</t>
        </is>
      </c>
      <c r="B114" s="70" t="n">
        <v>0.015</v>
      </c>
      <c r="C114" s="70" t="n">
        <v>0.02</v>
      </c>
      <c r="D114" s="70" t="n">
        <v>0.025</v>
      </c>
      <c r="E114" s="70" t="n">
        <v>0.03</v>
      </c>
      <c r="F114" s="70" t="n">
        <v>0.035</v>
      </c>
    </row>
    <row r="115">
      <c r="A115" s="70" t="n">
        <v>0.09470000000000001</v>
      </c>
      <c r="B115" s="136" t="n">
        <v>181.4602707039947</v>
      </c>
      <c r="C115" s="136" t="n">
        <v>190.9868047014702</v>
      </c>
      <c r="D115" s="136" t="n">
        <v>201.8791788179705</v>
      </c>
      <c r="E115" s="136" t="n">
        <v>214.4540484133934</v>
      </c>
      <c r="F115" s="136" t="n">
        <v>229.1341510452569</v>
      </c>
    </row>
    <row r="116">
      <c r="A116" s="70" t="n">
        <v>0.1047</v>
      </c>
      <c r="B116" s="136" t="n">
        <v>159.9746770336611</v>
      </c>
      <c r="C116" s="136" t="n">
        <v>167.1652769376966</v>
      </c>
      <c r="D116" s="136" t="n">
        <v>175.2572904127773</v>
      </c>
      <c r="E116" s="136" t="n">
        <v>184.431724200077</v>
      </c>
      <c r="F116" s="136" t="n">
        <v>194.9215238474188</v>
      </c>
    </row>
    <row r="117">
      <c r="A117" s="70" t="n">
        <v>0.1147</v>
      </c>
      <c r="B117" s="136" t="n">
        <v>142.8315760838034</v>
      </c>
      <c r="C117" s="136" t="n">
        <v>148.4069417960616</v>
      </c>
      <c r="D117" s="136" t="n">
        <v>154.6031894501711</v>
      </c>
      <c r="E117" s="136" t="n">
        <v>161.5302745257989</v>
      </c>
      <c r="F117" s="144" t="n">
        <v>169.3257448438078</v>
      </c>
    </row>
    <row r="118">
      <c r="A118" s="70" t="n">
        <v>0.1247</v>
      </c>
      <c r="B118" s="136" t="n">
        <v>128.8422093361122</v>
      </c>
      <c r="C118" s="136" t="n">
        <v>133.2598496106757</v>
      </c>
      <c r="D118" s="136" t="n">
        <v>138.1200024234396</v>
      </c>
      <c r="E118" s="136" t="n">
        <v>143.4927595175189</v>
      </c>
      <c r="F118" s="136" t="n">
        <v>149.4638406723979</v>
      </c>
    </row>
    <row r="119">
      <c r="A119" s="70" t="n">
        <v>0.1347</v>
      </c>
      <c r="B119" s="136" t="n">
        <v>117.2151203392598</v>
      </c>
      <c r="C119" s="136" t="n">
        <v>120.7784517931746</v>
      </c>
      <c r="D119" s="136" t="n">
        <v>124.6661033813538</v>
      </c>
      <c r="E119" s="136" t="n">
        <v>128.9245393064141</v>
      </c>
      <c r="F119" s="136" t="n">
        <v>133.6095445739043</v>
      </c>
    </row>
  </sheetData>
  <mergeCells count="2">
    <mergeCell ref="A109:D109"/>
    <mergeCell ref="A104:D10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32" t="inlineStr">
        <is>
          <t>Reverse DCF — NVIDIA CORP (NVDA)</t>
        </is>
      </c>
    </row>
    <row r="2">
      <c r="A2" s="72" t="inlineStr">
        <is>
          <t>What annual FCF growth rate is the market pricing in at today's stock price?</t>
        </is>
      </c>
    </row>
    <row r="3"/>
    <row r="4">
      <c r="A4" s="1" t="inlineStr">
        <is>
          <t>RESULT</t>
        </is>
      </c>
    </row>
    <row r="5">
      <c r="A5" t="inlineStr">
        <is>
          <t>Implied Annual FCF Growth</t>
        </is>
      </c>
      <c r="B5" s="73" t="n">
        <v>0.2998779296875</v>
      </c>
    </row>
    <row r="6">
      <c r="A6" t="inlineStr">
        <is>
          <t>Current Stock Price</t>
        </is>
      </c>
      <c r="B6" s="136" t="n">
        <v>230.36</v>
      </c>
    </row>
    <row r="7"/>
    <row r="8">
      <c r="A8" s="1" t="inlineStr">
        <is>
          <t>HISTORICAL REVENUE GROWTH (CAGR)</t>
        </is>
      </c>
    </row>
    <row r="9">
      <c r="A9" t="inlineStr">
        <is>
          <t>1yr Avg Revenue Growth</t>
        </is>
      </c>
      <c r="B9" s="74" t="n">
        <v>0.8337529809100703</v>
      </c>
    </row>
    <row r="10">
      <c r="A10" t="inlineStr">
        <is>
          <t>3yr Avg Revenue Growth</t>
        </is>
      </c>
      <c r="B10" s="74" t="n">
        <v>1.100717333092131</v>
      </c>
    </row>
    <row r="11">
      <c r="A11" t="inlineStr">
        <is>
          <t>5yr Avg Revenue Growth</t>
        </is>
      </c>
      <c r="B11" s="74" t="n">
        <v>0.6912301605335913</v>
      </c>
    </row>
    <row r="12">
      <c r="A12" s="75" t="inlineStr">
        <is>
          <t>✓ Market implies 30% growth vs 110% historical — conservative pricing</t>
        </is>
      </c>
    </row>
    <row r="13"/>
    <row r="14">
      <c r="A14" s="160" t="inlineStr">
        <is>
          <t>The market expects strong growth (30%/yr). Reasonable for high-growth tech but watch for deceleration.</t>
        </is>
      </c>
    </row>
    <row r="15"/>
    <row r="16">
      <c r="A16" s="1" t="inlineStr">
        <is>
          <t>WHAT MUST BE TRUE FOR $230 TO BE FAIR VALUE</t>
        </is>
      </c>
    </row>
    <row r="17">
      <c r="A17" s="33" t="inlineStr">
        <is>
          <t>Market price requires AT LEAST ONE of these (not all three) — each holds other base-case operational assumptions constant.</t>
        </is>
      </c>
    </row>
    <row r="18">
      <c r="A18" t="inlineStr">
        <is>
          <t>Required TTM Revenue (starting point)</t>
        </is>
      </c>
      <c r="B18" s="77" t="n">
        <v>411767.1206298828</v>
      </c>
      <c r="C18" s="78" t="inlineStr">
        <is>
          <t>vs base $302,969M (Δ +36%)</t>
        </is>
      </c>
    </row>
    <row r="19">
      <c r="A19" t="inlineStr">
        <is>
          <t>Required Operating Margin (held constant)</t>
        </is>
      </c>
      <c r="B19" s="78" t="inlineStr">
        <is>
          <t>out of search range</t>
        </is>
      </c>
    </row>
    <row r="20">
      <c r="A20" t="inlineStr">
        <is>
          <t>Required Terminal Growth Rate</t>
        </is>
      </c>
      <c r="B20" s="79" t="n">
        <v>0.06020890173484607</v>
      </c>
      <c r="C20" s="78" t="inlineStr">
        <is>
          <t>vs base 3.5% (Δ +2.5pp)</t>
        </is>
      </c>
    </row>
    <row r="21"/>
    <row r="22">
      <c r="A22" s="1" t="inlineStr">
        <is>
          <t>ASSUMPTIONS USED</t>
        </is>
      </c>
      <c r="C22" s="80" t="inlineStr">
        <is>
          <t>(linked to DCF tab)</t>
        </is>
      </c>
    </row>
    <row r="23">
      <c r="A23" t="inlineStr">
        <is>
          <t>WACC</t>
        </is>
      </c>
      <c r="B23" s="47">
        <f>DCF!B4</f>
        <v/>
      </c>
    </row>
    <row r="24">
      <c r="A24" t="inlineStr">
        <is>
          <t>Terminal Growth Rate</t>
        </is>
      </c>
      <c r="B24" s="47">
        <f>DCF!B5</f>
        <v/>
      </c>
    </row>
    <row r="25">
      <c r="A25" t="inlineStr">
        <is>
          <t>Tax Rate</t>
        </is>
      </c>
      <c r="B25" s="47">
        <f>DCF!B6</f>
        <v/>
      </c>
    </row>
    <row r="26">
      <c r="A26" t="inlineStr">
        <is>
          <t>Operating Margin</t>
        </is>
      </c>
      <c r="B26" s="47">
        <f>DCF!B7</f>
        <v/>
      </c>
    </row>
    <row r="27">
      <c r="A27" t="inlineStr">
        <is>
          <t>CapEx % of Revenue</t>
        </is>
      </c>
      <c r="B27" s="47">
        <f>DCF!B8</f>
        <v/>
      </c>
    </row>
    <row r="28">
      <c r="A28" t="inlineStr">
        <is>
          <t>D&amp;A % of Revenue</t>
        </is>
      </c>
      <c r="B28" s="47">
        <f>DCF!B10</f>
        <v/>
      </c>
    </row>
    <row r="29"/>
    <row r="30">
      <c r="A30" s="1" t="inlineStr">
        <is>
          <t>SENSITIVITY TABLE</t>
        </is>
      </c>
    </row>
    <row r="31">
      <c r="A31" s="81" t="inlineStr">
        <is>
          <t>Implied FCF Growth Rate for different WACC / Terminal Growth combos</t>
        </is>
      </c>
    </row>
    <row r="32">
      <c r="A32" s="1" t="inlineStr">
        <is>
          <t>WACC ↓ / TGR →</t>
        </is>
      </c>
      <c r="B32" s="82" t="n">
        <v>0.01</v>
      </c>
      <c r="C32" s="82" t="n">
        <v>0.015</v>
      </c>
      <c r="D32" s="82" t="n">
        <v>0.02</v>
      </c>
      <c r="E32" s="82" t="n">
        <v>0.025</v>
      </c>
      <c r="F32" s="82" t="n">
        <v>0.03</v>
      </c>
      <c r="G32" s="82" t="n">
        <v>0.035</v>
      </c>
      <c r="H32" s="82" t="n">
        <v>0.04</v>
      </c>
    </row>
    <row r="33">
      <c r="A33" s="82" t="n">
        <v>0.0847</v>
      </c>
      <c r="B33" s="49" t="n">
        <v>0.255615234375</v>
      </c>
      <c r="C33" s="49" t="n">
        <v>0.239892578125</v>
      </c>
      <c r="D33" s="49" t="n">
        <v>0.22314453125</v>
      </c>
      <c r="E33" s="49" t="n">
        <v>0.20537109375</v>
      </c>
      <c r="F33" s="49" t="n">
        <v>0.1860595703125</v>
      </c>
      <c r="G33" s="49" t="n">
        <v>0.1652099609375</v>
      </c>
      <c r="H33" s="49" t="n">
        <v>0.14248046875</v>
      </c>
    </row>
    <row r="34">
      <c r="A34" s="82" t="n">
        <v>0.09470000000000001</v>
      </c>
      <c r="B34" s="49" t="n">
        <v>0.294580078125</v>
      </c>
      <c r="C34" s="49" t="n">
        <v>0.2803955078125</v>
      </c>
      <c r="D34" s="49" t="n">
        <v>0.26552734375</v>
      </c>
      <c r="E34" s="49" t="n">
        <v>0.2496337890625</v>
      </c>
      <c r="F34" s="49" t="n">
        <v>0.23271484375</v>
      </c>
      <c r="G34" s="49" t="n">
        <v>0.214599609375</v>
      </c>
      <c r="H34" s="49" t="n">
        <v>0.1952880859375</v>
      </c>
    </row>
    <row r="35">
      <c r="A35" s="82" t="n">
        <v>0.1047</v>
      </c>
      <c r="B35" s="49" t="n">
        <v>0.330810546875</v>
      </c>
      <c r="C35" s="49" t="n">
        <v>0.3179931640625001</v>
      </c>
      <c r="D35" s="49" t="n">
        <v>0.3044921875</v>
      </c>
      <c r="E35" s="49" t="n">
        <v>0.29013671875</v>
      </c>
      <c r="F35" s="49" t="n">
        <v>0.27509765625</v>
      </c>
      <c r="G35" s="49" t="n">
        <v>0.2592041015625</v>
      </c>
      <c r="H35" s="49" t="n">
        <v>0.24228515625</v>
      </c>
    </row>
    <row r="36">
      <c r="A36" s="82" t="n">
        <v>0.1147</v>
      </c>
      <c r="B36" s="49" t="n">
        <v>0.36533203125</v>
      </c>
      <c r="C36" s="49" t="n">
        <v>0.353369140625</v>
      </c>
      <c r="D36" s="49" t="n">
        <v>0.341064453125</v>
      </c>
      <c r="E36" s="49" t="n">
        <v>0.328076171875</v>
      </c>
      <c r="F36" s="49" t="n">
        <v>0.314404296875</v>
      </c>
      <c r="G36" s="55" t="n">
        <v>0.300048828125</v>
      </c>
      <c r="H36" s="49" t="n">
        <v>0.285009765625</v>
      </c>
    </row>
    <row r="37">
      <c r="A37" s="82" t="n">
        <v>0.1247</v>
      </c>
      <c r="B37" s="49" t="n">
        <v>0.3979736328125</v>
      </c>
      <c r="C37" s="49" t="n">
        <v>0.3870361328125</v>
      </c>
      <c r="D37" s="49" t="n">
        <v>0.3755859375</v>
      </c>
      <c r="E37" s="49" t="n">
        <v>0.363623046875</v>
      </c>
      <c r="F37" s="49" t="n">
        <v>0.3513183593750001</v>
      </c>
      <c r="G37" s="49" t="n">
        <v>0.3381591796875</v>
      </c>
      <c r="H37" s="49" t="n">
        <v>0.3244873046875</v>
      </c>
    </row>
    <row r="38">
      <c r="A38" s="82" t="n">
        <v>0.1347</v>
      </c>
      <c r="B38" s="83" t="n">
        <v>0.4294189453124999</v>
      </c>
      <c r="C38" s="83" t="n">
        <v>0.4191650390625</v>
      </c>
      <c r="D38" s="83" t="n">
        <v>0.4085693359374999</v>
      </c>
      <c r="E38" s="49" t="n">
        <v>0.3974609375</v>
      </c>
      <c r="F38" s="49" t="n">
        <v>0.3860107421875</v>
      </c>
      <c r="G38" s="49" t="n">
        <v>0.373876953125</v>
      </c>
      <c r="H38" s="49" t="n">
        <v>0.3614013671875</v>
      </c>
    </row>
    <row r="39">
      <c r="A39" s="82" t="n">
        <v>0.1447</v>
      </c>
      <c r="B39" s="83" t="n">
        <v>0.45966796875</v>
      </c>
      <c r="C39" s="83" t="n">
        <v>0.45009765625</v>
      </c>
      <c r="D39" s="83" t="n">
        <v>0.440185546875</v>
      </c>
      <c r="E39" s="83" t="n">
        <v>0.4299316406249999</v>
      </c>
      <c r="F39" s="83" t="n">
        <v>0.418994140625</v>
      </c>
      <c r="G39" s="83" t="n">
        <v>0.4080566406249999</v>
      </c>
      <c r="H39" s="49" t="n">
        <v>0.396435546875</v>
      </c>
    </row>
    <row r="40"/>
    <row r="41"/>
    <row r="42">
      <c r="A42" s="1" t="inlineStr">
        <is>
          <t>GROWTH × MARGIN GRID (Implied Price)</t>
        </is>
      </c>
    </row>
    <row r="43">
      <c r="A43" s="33" t="inlineStr">
        <is>
          <t>Each cell = implied share price for that (revenue CAGR, op margin) combo. Find the cell closest to current price; that pair is what the market is pricing.</t>
        </is>
      </c>
    </row>
    <row r="44">
      <c r="A44" s="1" t="inlineStr">
        <is>
          <t>Op Margin ↓ / Rev CAGR →</t>
        </is>
      </c>
      <c r="B44" s="82" t="n">
        <v>0.1998779296875</v>
      </c>
      <c r="C44" s="82" t="n">
        <v>0.2498779296875</v>
      </c>
      <c r="D44" s="82" t="n">
        <v>0.2998779296875</v>
      </c>
      <c r="E44" s="82" t="n">
        <v>0.3498779296875</v>
      </c>
      <c r="F44" s="82" t="n">
        <v>0.3998779296875</v>
      </c>
    </row>
    <row r="45">
      <c r="A45" s="82" t="n">
        <v>0.5521426284537362</v>
      </c>
      <c r="B45" s="136" t="n">
        <v>133.2085207966008</v>
      </c>
      <c r="C45" s="136" t="n">
        <v>160.4306837462852</v>
      </c>
      <c r="D45" s="136" t="n">
        <v>192.1313590074631</v>
      </c>
      <c r="E45" s="136" t="n">
        <v>228.8539496904029</v>
      </c>
      <c r="F45" s="136" t="n">
        <v>271.184544946347</v>
      </c>
    </row>
    <row r="46">
      <c r="A46" s="82" t="n">
        <v>0.6021426284537361</v>
      </c>
      <c r="B46" s="136" t="n">
        <v>146.3282445058916</v>
      </c>
      <c r="C46" s="136" t="n">
        <v>176.2341938233468</v>
      </c>
      <c r="D46" s="136" t="n">
        <v>211.059900115512</v>
      </c>
      <c r="E46" s="136" t="n">
        <v>251.4022860853929</v>
      </c>
      <c r="F46" s="136" t="n">
        <v>297.9051636545441</v>
      </c>
    </row>
    <row r="47">
      <c r="A47" s="82" t="n">
        <v>0.6521426284537362</v>
      </c>
      <c r="B47" s="136" t="n">
        <v>159.4479682151824</v>
      </c>
      <c r="C47" s="136" t="n">
        <v>192.0377039004085</v>
      </c>
      <c r="D47" s="144" t="n">
        <v>229.9884412235609</v>
      </c>
      <c r="E47" s="136" t="n">
        <v>273.9506224803828</v>
      </c>
      <c r="F47" s="136" t="n">
        <v>324.6257823627412</v>
      </c>
    </row>
    <row r="48">
      <c r="A48" s="82" t="n">
        <v>0.7021426284537362</v>
      </c>
      <c r="B48" s="136" t="n">
        <v>172.5676919244732</v>
      </c>
      <c r="C48" s="136" t="n">
        <v>207.8412139774702</v>
      </c>
      <c r="D48" s="136" t="n">
        <v>248.9169823316097</v>
      </c>
      <c r="E48" s="136" t="n">
        <v>296.4989588753729</v>
      </c>
      <c r="F48" s="136" t="n">
        <v>351.3464010709383</v>
      </c>
    </row>
    <row r="49">
      <c r="A49" s="82" t="n">
        <v>0.7521426284537361</v>
      </c>
      <c r="B49" s="136" t="n">
        <v>185.6874156337639</v>
      </c>
      <c r="C49" s="136" t="n">
        <v>223.6447240545319</v>
      </c>
      <c r="D49" s="136" t="n">
        <v>267.8455234396587</v>
      </c>
      <c r="E49" s="136" t="n">
        <v>319.0472952703628</v>
      </c>
      <c r="F49" s="136" t="n">
        <v>378.0670197791355</v>
      </c>
    </row>
    <row r="50"/>
    <row r="51" ht="30" customHeight="1">
      <c r="A51" s="84" t="inlineStr">
        <is>
          <t>At current price $230.36, the market is pricing in approximately 30% revenue CAGR AT 65% operating margin. Move along either axis to see the trade-off.</t>
        </is>
      </c>
    </row>
    <row r="52"/>
    <row r="53"/>
    <row r="54">
      <c r="A54" s="1" t="inlineStr">
        <is>
          <t>MARKET-IMPLIED WACC</t>
        </is>
      </c>
    </row>
    <row r="55" ht="30" customHeight="1">
      <c r="A55" s="33" t="inlineStr">
        <is>
          <t>Holding our growth and margin base case, what discount rate does today's price imply? If this is materially below our computed WACC, the market is pricing less risk than our beta methodology assumes.</t>
        </is>
      </c>
    </row>
    <row r="56">
      <c r="A56" t="inlineStr">
        <is>
          <t>Our Computed WACC</t>
        </is>
      </c>
      <c r="B56" s="47" t="n">
        <v>0.1146510108547472</v>
      </c>
    </row>
    <row r="57">
      <c r="A57" t="inlineStr">
        <is>
          <t>Market-Implied WACC</t>
        </is>
      </c>
      <c r="B57" s="55" t="n">
        <v>0.09439697265625001</v>
      </c>
    </row>
    <row r="58">
      <c r="A58" t="inlineStr">
        <is>
          <t>Gap (Ours − Market)</t>
        </is>
      </c>
      <c r="B58" s="161" t="n">
        <v>0.02025403819849723</v>
      </c>
    </row>
    <row r="59" ht="30" customHeight="1">
      <c r="A59" s="84" t="inlineStr">
        <is>
          <t>We discount at 2.0pp HIGHER than the market. Closing this gap (lower beta or longer return horizon) would push our DCF toward sell-side targets.</t>
        </is>
      </c>
    </row>
  </sheetData>
  <mergeCells count="4">
    <mergeCell ref="A43:G43"/>
    <mergeCell ref="A55:D55"/>
    <mergeCell ref="A51:G51"/>
    <mergeCell ref="A59:D5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42" customWidth="1" min="1" max="1"/>
    <col width="45" customWidth="1" min="2" max="2"/>
    <col width="18" customWidth="1" min="3" max="3"/>
  </cols>
  <sheetData>
    <row r="1">
      <c r="A1" s="32" t="inlineStr">
        <is>
          <t>Monte Carlo DCF Simulation - NVIDIA CORP (NVDA)</t>
        </is>
      </c>
    </row>
    <row r="2"/>
    <row r="3">
      <c r="A3" s="44" t="inlineStr">
        <is>
          <t>METHODOLOGY</t>
        </is>
      </c>
      <c r="B3" s="45" t="n"/>
      <c r="C3" s="45" t="n"/>
    </row>
    <row r="4">
      <c r="A4" s="33" t="inlineStr">
        <is>
          <t>1,000 iterations (1,000 valid)</t>
        </is>
      </c>
    </row>
    <row r="5">
      <c r="A5" s="33" t="inlineStr">
        <is>
          <t>Operating variables: correlated blend between Bear/Base/Bull scenarios</t>
        </is>
      </c>
    </row>
    <row r="6">
      <c r="A6" s="33" t="inlineStr">
        <is>
          <t>WACC: Normal(11.5%, 1.5% std) | TGR: Triangular(2.0%, 3.5%, 5.0%)</t>
        </is>
      </c>
    </row>
    <row r="7">
      <c r="A7" s="33" t="inlineStr">
        <is>
          <t>Revenue exec shock: ±15% σ (multiplicative, ±2σ clipped) | Margin exec shock: ±3.0pp σ (additive, ±2σ clipped)</t>
        </is>
      </c>
    </row>
    <row r="8">
      <c r="A8" s="33" t="inlineStr">
        <is>
          <t>Seed: 42 (deterministic — same inputs produce same output)</t>
        </is>
      </c>
    </row>
    <row r="9"/>
    <row r="10">
      <c r="A10" s="44" t="inlineStr">
        <is>
          <t>SUMMARY STATISTICS</t>
        </is>
      </c>
      <c r="B10" s="45" t="n"/>
      <c r="C10" s="45" t="n"/>
    </row>
    <row r="11">
      <c r="A11" s="41" t="inlineStr">
        <is>
          <t>Mean Implied Price</t>
        </is>
      </c>
      <c r="B11" s="146" t="n">
        <v>177.5009717583784</v>
      </c>
    </row>
    <row r="12">
      <c r="A12" s="41" t="inlineStr">
        <is>
          <t>Median Implied Price (50th pctl)</t>
        </is>
      </c>
      <c r="B12" s="146" t="n">
        <v>167.8871316945239</v>
      </c>
    </row>
    <row r="13">
      <c r="A13" s="41" t="inlineStr">
        <is>
          <t>Standard Deviation</t>
        </is>
      </c>
      <c r="B13" s="146" t="n">
        <v>51.84161939992322</v>
      </c>
    </row>
    <row r="14"/>
    <row r="15">
      <c r="A15" s="44" t="inlineStr">
        <is>
          <t>PERCENTILE TABLE</t>
        </is>
      </c>
      <c r="B15" s="45" t="n"/>
      <c r="C15" s="45" t="n"/>
    </row>
    <row r="16">
      <c r="A16" s="87" t="inlineStr">
        <is>
          <t>Percentile</t>
        </is>
      </c>
      <c r="B16" s="87" t="inlineStr">
        <is>
          <t>Implied Price</t>
        </is>
      </c>
      <c r="C16" s="87" t="inlineStr">
        <is>
          <t>vs Current</t>
        </is>
      </c>
    </row>
    <row r="17">
      <c r="A17" s="41" t="inlineStr">
        <is>
          <t>5th</t>
        </is>
      </c>
      <c r="B17" s="136" t="n">
        <v>111.6447341225524</v>
      </c>
      <c r="C17" s="147" t="n">
        <v>-0.5153467002841102</v>
      </c>
    </row>
    <row r="18">
      <c r="A18" s="41" t="inlineStr">
        <is>
          <t>25th</t>
        </is>
      </c>
      <c r="B18" s="136" t="n">
        <v>142.8236904796395</v>
      </c>
      <c r="C18" s="147" t="n">
        <v>-0.3799978708124695</v>
      </c>
    </row>
    <row r="19">
      <c r="A19" s="41" t="inlineStr">
        <is>
          <t>50th</t>
        </is>
      </c>
      <c r="B19" s="148" t="n">
        <v>167.8871316945239</v>
      </c>
      <c r="C19" s="147" t="n">
        <v>-0.2711966847780695</v>
      </c>
    </row>
    <row r="20">
      <c r="A20" s="41" t="inlineStr">
        <is>
          <t>75th</t>
        </is>
      </c>
      <c r="B20" s="136" t="n">
        <v>200.2782522083899</v>
      </c>
      <c r="C20" s="147" t="n">
        <v>-0.1305858126046625</v>
      </c>
    </row>
    <row r="21">
      <c r="A21" s="41" t="inlineStr">
        <is>
          <t>95th</t>
        </is>
      </c>
      <c r="B21" s="136" t="n">
        <v>272.8729606841532</v>
      </c>
      <c r="C21" s="149" t="n">
        <v>0.1845500984726218</v>
      </c>
    </row>
    <row r="22"/>
    <row r="23">
      <c r="A23" s="44" t="inlineStr">
        <is>
          <t>PROBABILITY ANALYSIS</t>
        </is>
      </c>
      <c r="B23" s="45" t="n"/>
      <c r="C23" s="45" t="n"/>
    </row>
    <row r="24">
      <c r="A24" s="41" t="inlineStr">
        <is>
          <t>Current Share Price</t>
        </is>
      </c>
      <c r="B24" s="136" t="n">
        <v>230.36</v>
      </c>
    </row>
    <row r="25">
      <c r="A25" s="1" t="inlineStr">
        <is>
          <t>P(Undervalued)</t>
        </is>
      </c>
      <c r="B25" s="91" t="n">
        <v>0.135</v>
      </c>
      <c r="C25" s="33" t="inlineStr">
        <is>
          <t>Majority of scenarios imply downside</t>
        </is>
      </c>
    </row>
    <row r="26"/>
    <row r="27">
      <c r="A27" s="44" t="inlineStr">
        <is>
          <t>SCENARIO ANCHORS</t>
        </is>
      </c>
      <c r="B27" s="45" t="n"/>
      <c r="C27" s="45" t="n"/>
    </row>
    <row r="28">
      <c r="A28" s="41" t="inlineStr">
        <is>
          <t>Bear Implied</t>
        </is>
      </c>
      <c r="B28" s="150" t="n">
        <v>119.4137963644068</v>
      </c>
    </row>
    <row r="29">
      <c r="A29" s="41" t="inlineStr">
        <is>
          <t>Base Implied</t>
        </is>
      </c>
      <c r="B29" s="151" t="n">
        <v>167.2033463366086</v>
      </c>
    </row>
    <row r="30">
      <c r="A30" s="41" t="inlineStr">
        <is>
          <t>Bull Implied</t>
        </is>
      </c>
      <c r="B30" s="144" t="n">
        <v>205.0729926535466</v>
      </c>
    </row>
    <row r="31"/>
    <row r="32">
      <c r="A32" s="44" t="inlineStr">
        <is>
          <t>PRICE DISTRIBUTION</t>
        </is>
      </c>
      <c r="B32" s="45" t="n"/>
      <c r="C32" s="45" t="n"/>
    </row>
    <row r="33">
      <c r="A33" s="94" t="inlineStr">
        <is>
          <t>$79-$102</t>
        </is>
      </c>
      <c r="B33" s="95" t="inlineStr">
        <is>
          <t>███</t>
        </is>
      </c>
      <c r="C33" s="96" t="inlineStr">
        <is>
          <t>(22)</t>
        </is>
      </c>
    </row>
    <row r="34">
      <c r="A34" s="94" t="inlineStr">
        <is>
          <t>$102-$125</t>
        </is>
      </c>
      <c r="B34" s="95" t="inlineStr">
        <is>
          <t>████████████████</t>
        </is>
      </c>
      <c r="C34" s="96" t="inlineStr">
        <is>
          <t>(98)</t>
        </is>
      </c>
    </row>
    <row r="35">
      <c r="A35" s="94" t="inlineStr">
        <is>
          <t>$125-$149</t>
        </is>
      </c>
      <c r="B35" s="95" t="inlineStr">
        <is>
          <t>██████████████████████████████</t>
        </is>
      </c>
      <c r="C35" s="96" t="inlineStr">
        <is>
          <t>(184)</t>
        </is>
      </c>
    </row>
    <row r="36">
      <c r="A36" s="94" t="inlineStr">
        <is>
          <t>$149-$172</t>
        </is>
      </c>
      <c r="B36" s="95" t="inlineStr">
        <is>
          <t>████████████████████████████████████████</t>
        </is>
      </c>
      <c r="C36" s="96" t="inlineStr">
        <is>
          <t>(245)</t>
        </is>
      </c>
    </row>
    <row r="37">
      <c r="A37" s="94" t="inlineStr">
        <is>
          <t>$172-$196</t>
        </is>
      </c>
      <c r="B37" s="95" t="inlineStr">
        <is>
          <t>███████████████████████████</t>
        </is>
      </c>
      <c r="C37" s="96" t="inlineStr">
        <is>
          <t>(170)</t>
        </is>
      </c>
    </row>
    <row r="38">
      <c r="A38" s="94" t="inlineStr">
        <is>
          <t>$196-$219</t>
        </is>
      </c>
      <c r="B38" s="95" t="inlineStr">
        <is>
          <t>██████████████████</t>
        </is>
      </c>
      <c r="C38" s="96" t="inlineStr">
        <is>
          <t>(112)</t>
        </is>
      </c>
    </row>
    <row r="39">
      <c r="A39" s="94" t="inlineStr">
        <is>
          <t>$219-$243</t>
        </is>
      </c>
      <c r="B39" s="95" t="inlineStr">
        <is>
          <t>█████████</t>
        </is>
      </c>
      <c r="C39" s="96" t="inlineStr">
        <is>
          <t>(61)</t>
        </is>
      </c>
    </row>
    <row r="40">
      <c r="A40" s="94" t="inlineStr">
        <is>
          <t>$243-$266</t>
        </is>
      </c>
      <c r="B40" s="95" t="inlineStr">
        <is>
          <t>███████</t>
        </is>
      </c>
      <c r="C40" s="96" t="inlineStr">
        <is>
          <t>(44)</t>
        </is>
      </c>
    </row>
    <row r="41">
      <c r="A41" s="94" t="inlineStr">
        <is>
          <t>$266-$289</t>
        </is>
      </c>
      <c r="B41" s="95" t="inlineStr">
        <is>
          <t>█████</t>
        </is>
      </c>
      <c r="C41" s="96" t="inlineStr">
        <is>
          <t>(34)</t>
        </is>
      </c>
    </row>
    <row r="42">
      <c r="A42" s="94" t="inlineStr">
        <is>
          <t>$289-$313</t>
        </is>
      </c>
      <c r="B42" s="95" t="inlineStr">
        <is>
          <t>█</t>
        </is>
      </c>
      <c r="C42" s="96" t="inlineStr">
        <is>
          <t>(12)</t>
        </is>
      </c>
    </row>
    <row r="43">
      <c r="A43" s="94" t="inlineStr">
        <is>
          <t>$313-$336</t>
        </is>
      </c>
      <c r="B43" s="95" t="inlineStr"/>
      <c r="C43" s="96" t="inlineStr">
        <is>
          <t>(6)</t>
        </is>
      </c>
    </row>
    <row r="44">
      <c r="A44" s="94" t="inlineStr">
        <is>
          <t>$336-$360</t>
        </is>
      </c>
      <c r="B44" s="95" t="inlineStr"/>
      <c r="C44" s="96" t="inlineStr">
        <is>
          <t>(5)</t>
        </is>
      </c>
    </row>
    <row r="45">
      <c r="A45" s="94" t="inlineStr">
        <is>
          <t>$360-$383</t>
        </is>
      </c>
      <c r="B45" s="95" t="inlineStr"/>
      <c r="C45" s="96" t="inlineStr">
        <is>
          <t>(2)</t>
        </is>
      </c>
    </row>
    <row r="46">
      <c r="A46" s="94" t="inlineStr">
        <is>
          <t>$383-$407</t>
        </is>
      </c>
      <c r="B46" s="95" t="inlineStr"/>
      <c r="C46" s="96" t="inlineStr">
        <is>
          <t>(1)</t>
        </is>
      </c>
    </row>
    <row r="47">
      <c r="A47" s="94" t="inlineStr">
        <is>
          <t>$407-$430</t>
        </is>
      </c>
      <c r="B47" s="95" t="inlineStr"/>
      <c r="C47" s="96" t="inlineStr">
        <is>
          <t>(2)</t>
        </is>
      </c>
    </row>
    <row r="48">
      <c r="A48" s="94" t="inlineStr">
        <is>
          <t>$430-$454</t>
        </is>
      </c>
      <c r="B48" s="95" t="inlineStr"/>
      <c r="C48" s="96" t="inlineStr">
        <is>
          <t>(0)</t>
        </is>
      </c>
    </row>
    <row r="49">
      <c r="A49" s="94" t="inlineStr">
        <is>
          <t>$454-$477</t>
        </is>
      </c>
      <c r="B49" s="95" t="inlineStr"/>
      <c r="C49" s="96" t="inlineStr">
        <is>
          <t>(0)</t>
        </is>
      </c>
    </row>
    <row r="50">
      <c r="A50" s="94" t="inlineStr">
        <is>
          <t>$477-$500</t>
        </is>
      </c>
      <c r="B50" s="95" t="inlineStr"/>
      <c r="C50" s="96" t="inlineStr">
        <is>
          <t>(1)</t>
        </is>
      </c>
    </row>
    <row r="51">
      <c r="A51" s="94" t="inlineStr">
        <is>
          <t>$500-$524</t>
        </is>
      </c>
      <c r="B51" s="95" t="inlineStr"/>
      <c r="C51" s="96" t="inlineStr">
        <is>
          <t>(0)</t>
        </is>
      </c>
    </row>
    <row r="52">
      <c r="A52" s="94" t="inlineStr">
        <is>
          <t>$524-$547</t>
        </is>
      </c>
      <c r="B52" s="95" t="inlineStr"/>
      <c r="C52" s="96" t="inlineStr">
        <is>
          <t>(1)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cols>
    <col width="8" customWidth="1" min="1" max="1"/>
    <col width="25" customWidth="1" min="2" max="2"/>
    <col width="14" customWidth="1" min="3" max="3"/>
    <col width="10" customWidth="1" min="4" max="4"/>
    <col width="12" customWidth="1" min="5" max="5"/>
    <col width="12" customWidth="1" min="6" max="6"/>
    <col width="12" customWidth="1" min="7" max="7"/>
    <col width="10" customWidth="1" min="8" max="8"/>
    <col width="10" customWidth="1" min="9" max="9"/>
    <col width="10" customWidth="1" min="10" max="10"/>
    <col width="10" customWidth="1" min="11" max="11"/>
    <col width="12" customWidth="1" min="12" max="12"/>
    <col width="12" customWidth="1" min="13" max="13"/>
    <col width="12" customWidth="1" min="14" max="14"/>
    <col width="12" customWidth="1" min="15" max="15"/>
    <col width="10" customWidth="1" min="16" max="16"/>
    <col width="10" customWidth="1" min="17" max="17"/>
  </cols>
  <sheetData>
    <row r="1">
      <c r="A1" s="32" t="inlineStr">
        <is>
          <t>Comparable Company Analysis</t>
        </is>
      </c>
    </row>
    <row r="2"/>
    <row r="3">
      <c r="A3" s="1" t="inlineStr">
        <is>
          <t>Ticker</t>
        </is>
      </c>
      <c r="B3" s="1" t="inlineStr">
        <is>
          <t>Company</t>
        </is>
      </c>
      <c r="C3" s="1" t="inlineStr">
        <is>
          <t>Market Cap ($B)</t>
        </is>
      </c>
      <c r="D3" s="1" t="inlineStr">
        <is>
          <t>Price</t>
        </is>
      </c>
      <c r="E3" s="1" t="inlineStr">
        <is>
          <t>Trailing P/E</t>
        </is>
      </c>
      <c r="F3" s="1" t="inlineStr">
        <is>
          <t>Forward P/E</t>
        </is>
      </c>
      <c r="G3" s="1" t="inlineStr">
        <is>
          <t>EV/EBITDA</t>
        </is>
      </c>
      <c r="H3" s="1" t="inlineStr">
        <is>
          <t>P/S</t>
        </is>
      </c>
      <c r="I3" s="1" t="inlineStr">
        <is>
          <t>EV/Rev</t>
        </is>
      </c>
      <c r="J3" s="1" t="inlineStr">
        <is>
          <t>P/B</t>
        </is>
      </c>
      <c r="K3" s="1" t="inlineStr">
        <is>
          <t>PEG</t>
        </is>
      </c>
      <c r="L3" s="1" t="inlineStr">
        <is>
          <t>Rev Growth</t>
        </is>
      </c>
      <c r="M3" s="1" t="inlineStr">
        <is>
          <t>Gross Margin</t>
        </is>
      </c>
      <c r="N3" s="1" t="inlineStr">
        <is>
          <t>Op Margin</t>
        </is>
      </c>
      <c r="O3" s="1" t="inlineStr">
        <is>
          <t>Net Margin</t>
        </is>
      </c>
      <c r="P3" s="1" t="inlineStr">
        <is>
          <t>ROE</t>
        </is>
      </c>
      <c r="Q3" s="1" t="inlineStr">
        <is>
          <t>Div Yield</t>
        </is>
      </c>
    </row>
    <row r="4">
      <c r="A4" t="inlineStr">
        <is>
          <t>AVGO</t>
        </is>
      </c>
      <c r="B4" t="inlineStr">
        <is>
          <t>Broadcom Inc.</t>
        </is>
      </c>
      <c r="C4" s="152" t="n">
        <v>1702.714146816</v>
      </c>
      <c r="D4" s="136" t="n">
        <v>357.895</v>
      </c>
      <c r="E4" s="153" t="n">
        <v>45.475857</v>
      </c>
      <c r="F4" s="153" t="n">
        <v>45.475857</v>
      </c>
      <c r="G4" s="153" t="n">
        <v>33.447</v>
      </c>
      <c r="H4" s="153" t="n">
        <v>19.10929</v>
      </c>
      <c r="I4" s="153" t="n">
        <v>19.541</v>
      </c>
      <c r="J4" s="153" t="n">
        <v>17.110245</v>
      </c>
      <c r="K4" s="50" t="n">
        <v>0.4</v>
      </c>
      <c r="L4" s="49" t="n">
        <v>0.855</v>
      </c>
      <c r="M4" s="49" t="n">
        <v>0.75515</v>
      </c>
      <c r="N4" s="49" t="n">
        <v>0.5430700000000001</v>
      </c>
      <c r="O4" s="49" t="n">
        <v>0.42944</v>
      </c>
      <c r="P4" s="49" t="n">
        <v>0.44245</v>
      </c>
      <c r="Q4" s="49" t="n">
        <v>0.0073</v>
      </c>
    </row>
    <row r="5">
      <c r="A5" t="inlineStr">
        <is>
          <t>TSM</t>
        </is>
      </c>
      <c r="B5" t="inlineStr">
        <is>
          <t>Taiwan Semiconductor Manufactur</t>
        </is>
      </c>
      <c r="C5" s="152" t="n">
        <v>2224.530653184</v>
      </c>
      <c r="D5" s="136" t="n">
        <v>428.91</v>
      </c>
      <c r="E5" s="153" t="n">
        <v>31.841871</v>
      </c>
      <c r="F5" s="153" t="n">
        <v>31.841871</v>
      </c>
      <c r="G5" s="153" t="n">
        <v>4.858</v>
      </c>
      <c r="H5" s="153" t="n">
        <v>0.5009649</v>
      </c>
      <c r="I5" s="153" t="n">
        <v>3.466</v>
      </c>
      <c r="J5" s="153" t="n">
        <v>88.28834000000001</v>
      </c>
      <c r="K5" s="50" t="n">
        <v>0.79</v>
      </c>
      <c r="L5" s="49" t="n">
        <v>0.36</v>
      </c>
      <c r="M5" s="49" t="n">
        <v>0.6423</v>
      </c>
      <c r="N5" s="49" t="n">
        <v>0.60344005</v>
      </c>
      <c r="O5" s="49" t="n">
        <v>0.49923</v>
      </c>
      <c r="P5" s="49" t="n">
        <v>0.39969003</v>
      </c>
      <c r="Q5" s="49" t="n">
        <v>0.0098</v>
      </c>
    </row>
    <row r="6">
      <c r="A6" t="inlineStr">
        <is>
          <t>AMD</t>
        </is>
      </c>
      <c r="B6" t="inlineStr">
        <is>
          <t>Advanced Micro Devices, Inc.</t>
        </is>
      </c>
      <c r="C6" s="152" t="n">
        <v>779.621105664</v>
      </c>
      <c r="D6" s="136" t="n">
        <v>477.57</v>
      </c>
      <c r="E6" s="153" t="n">
        <v>116.197075</v>
      </c>
      <c r="F6" s="153" t="n">
        <v>116.197075</v>
      </c>
      <c r="G6" s="153" t="n">
        <v>80.60899999999999</v>
      </c>
      <c r="H6" s="153" t="n">
        <v>18.874739</v>
      </c>
      <c r="I6" s="153" t="n">
        <v>18.661</v>
      </c>
      <c r="J6" s="153" t="n">
        <v>11.594037</v>
      </c>
      <c r="K6" s="50" t="n">
        <v>0.48</v>
      </c>
      <c r="L6" s="49" t="n">
        <v>0.501</v>
      </c>
      <c r="M6" s="49" t="n">
        <v>0.55724</v>
      </c>
      <c r="N6" s="49" t="n">
        <v>0.1725</v>
      </c>
      <c r="O6" s="49" t="n">
        <v>0.15577</v>
      </c>
      <c r="P6" s="49" t="n">
        <v>0.10196</v>
      </c>
    </row>
    <row r="7">
      <c r="A7" t="inlineStr">
        <is>
          <t>MU</t>
        </is>
      </c>
      <c r="B7" t="inlineStr">
        <is>
          <t>Micron Technology, Inc.</t>
        </is>
      </c>
      <c r="C7" s="152" t="n">
        <v>1148.12977152</v>
      </c>
      <c r="D7" s="136" t="n">
        <v>1016.59</v>
      </c>
      <c r="E7" s="153" t="n">
        <v>21.643389</v>
      </c>
      <c r="F7" s="153" t="n">
        <v>21.643389</v>
      </c>
      <c r="G7" s="153" t="n">
        <v>16.541</v>
      </c>
      <c r="H7" s="153" t="n">
        <v>12.718278</v>
      </c>
      <c r="I7" s="153" t="n">
        <v>12.501</v>
      </c>
      <c r="J7" s="153" t="n">
        <v>11.394834</v>
      </c>
      <c r="K7" s="50" t="n">
        <v>0.14</v>
      </c>
      <c r="L7" s="49" t="n">
        <v>3.457</v>
      </c>
      <c r="M7" s="49" t="n">
        <v>0.7256899999999999</v>
      </c>
      <c r="N7" s="49" t="n">
        <v>0.80370003</v>
      </c>
      <c r="O7" s="49" t="n">
        <v>0.55906</v>
      </c>
      <c r="P7" s="49" t="n">
        <v>0.66638</v>
      </c>
      <c r="Q7" s="49" t="n">
        <v>0.06</v>
      </c>
    </row>
    <row r="8">
      <c r="A8" s="8" t="inlineStr">
        <is>
          <t>Median</t>
        </is>
      </c>
      <c r="E8" s="154" t="n">
        <v>38.658864</v>
      </c>
      <c r="F8" s="154" t="n">
        <v>38.658864</v>
      </c>
      <c r="G8" s="154" t="n">
        <v>24.994</v>
      </c>
      <c r="H8" s="154" t="n">
        <v>15.7965085</v>
      </c>
      <c r="I8" s="154" t="n">
        <v>15.581</v>
      </c>
      <c r="J8" s="154" t="n">
        <v>14.352141</v>
      </c>
      <c r="K8" s="100" t="n">
        <v>0.44</v>
      </c>
      <c r="L8" s="101" t="n">
        <v>0.6779999999999999</v>
      </c>
      <c r="M8" s="101" t="n">
        <v>0.6839949999999999</v>
      </c>
      <c r="N8" s="101" t="n">
        <v>0.573255025</v>
      </c>
      <c r="O8" s="101" t="n">
        <v>0.464335</v>
      </c>
      <c r="P8" s="101" t="n">
        <v>0.421070015</v>
      </c>
      <c r="Q8" s="101" t="n">
        <v>0.0098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s>
  <sheetData>
    <row r="1">
      <c r="A1" s="32" t="inlineStr">
        <is>
          <t>Multiple-Based Valuation — NVIDIA CORP (NVDA)</t>
        </is>
      </c>
    </row>
    <row r="2">
      <c r="A2" s="72" t="inlineStr">
        <is>
          <t>Peers: AVGO, TSM, AMD, MU</t>
        </is>
      </c>
    </row>
    <row r="3"/>
    <row r="4">
      <c r="A4" s="1" t="inlineStr">
        <is>
          <t>FORWARD METRICS ($M)</t>
        </is>
      </c>
    </row>
    <row r="5">
      <c r="A5" t="inlineStr">
        <is>
          <t>NTM EPS (Trailing Margin)</t>
        </is>
      </c>
      <c r="B5" s="136" t="n">
        <v>12.29</v>
      </c>
    </row>
    <row r="6">
      <c r="A6" t="inlineStr">
        <is>
          <t>Normalized EPS (Mid-Cycle Avg Margin)</t>
        </is>
      </c>
      <c r="B6" s="136" t="n">
        <v>4.98</v>
      </c>
    </row>
    <row r="7">
      <c r="A7" t="inlineStr">
        <is>
          <t>NTM EBITDA (Projected OpInc + D&amp;A)</t>
        </is>
      </c>
      <c r="B7" s="51" t="n">
        <v>313689.1</v>
      </c>
    </row>
    <row r="8">
      <c r="A8" t="inlineStr">
        <is>
          <t>NTM EBIT (Operating Income)</t>
        </is>
      </c>
      <c r="B8" s="51" t="n">
        <v>310002.1</v>
      </c>
    </row>
    <row r="9">
      <c r="A9" t="inlineStr">
        <is>
          <t>NTM Revenue (Projected)</t>
        </is>
      </c>
      <c r="B9" s="51" t="n">
        <v>454453.5</v>
      </c>
    </row>
    <row r="10">
      <c r="A10" t="inlineStr">
        <is>
          <t>TTM Free Cash Flow</t>
        </is>
      </c>
      <c r="B10" s="51" t="n">
        <v>127006</v>
      </c>
    </row>
    <row r="11">
      <c r="A11" t="inlineStr">
        <is>
          <t>FCF Yield (TTM FCF / EV)</t>
        </is>
      </c>
      <c r="B11" s="49" t="n">
        <v>0.02</v>
      </c>
    </row>
    <row r="12">
      <c r="A12" t="inlineStr">
        <is>
          <t>Shares Outstanding (M)</t>
        </is>
      </c>
      <c r="B12" s="152" t="n">
        <v>24285</v>
      </c>
    </row>
    <row r="13">
      <c r="A13" t="inlineStr">
        <is>
          <t>Cash</t>
        </is>
      </c>
      <c r="B13" s="51" t="n">
        <v>22443</v>
      </c>
    </row>
    <row r="14">
      <c r="A14" t="inlineStr">
        <is>
          <t>Debt</t>
        </is>
      </c>
      <c r="B14" s="51" t="n">
        <v>33366</v>
      </c>
    </row>
    <row r="15">
      <c r="A15" t="inlineStr">
        <is>
          <t>Book Value (Stockholders' Equity)</t>
        </is>
      </c>
      <c r="B15" s="51" t="n">
        <v>228984</v>
      </c>
    </row>
    <row r="16">
      <c r="A16" t="inlineStr">
        <is>
          <t>Book Value Per Share</t>
        </is>
      </c>
      <c r="B16" s="136" t="n">
        <v>9.43</v>
      </c>
    </row>
    <row r="17">
      <c r="A17" t="inlineStr">
        <is>
          <t>Price / Book</t>
        </is>
      </c>
      <c r="B17" s="155" t="n">
        <v>24.43</v>
      </c>
    </row>
    <row r="18">
      <c r="A18" t="inlineStr">
        <is>
          <t>Inventory</t>
        </is>
      </c>
      <c r="B18" s="51" t="n">
        <v>31575</v>
      </c>
    </row>
    <row r="19">
      <c r="A19" t="inlineStr">
        <is>
          <t>Inventory Turnover (COGS / Inv)</t>
        </is>
      </c>
      <c r="B19" s="153" t="n">
        <v>2.43</v>
      </c>
    </row>
    <row r="20">
      <c r="A20" t="inlineStr">
        <is>
          <t>Days Inventory Outstanding</t>
        </is>
      </c>
      <c r="B20" s="51" t="n">
        <v>150.2</v>
      </c>
    </row>
    <row r="21">
      <c r="A21" t="inlineStr">
        <is>
          <t>P/E EPS Basis - Trailing EPS (peer fwd P/E gated to trailing)</t>
        </is>
      </c>
      <c r="B21" s="136" t="n">
        <v>7.94</v>
      </c>
    </row>
    <row r="22"/>
    <row r="23">
      <c r="A23" s="1" t="inlineStr">
        <is>
          <t>DUPONT ROE DECOMPOSITION</t>
        </is>
      </c>
    </row>
    <row r="24">
      <c r="A24" t="inlineStr">
        <is>
          <t>Net Profit Margin (NI / Revenue)</t>
        </is>
      </c>
      <c r="B24" s="49" t="n">
        <v>0.6366000000000001</v>
      </c>
    </row>
    <row r="25">
      <c r="A25" t="inlineStr">
        <is>
          <t>Asset Turnover (Revenue / Assets)</t>
        </is>
      </c>
      <c r="B25" s="155" t="n">
        <v>0.946</v>
      </c>
    </row>
    <row r="26">
      <c r="A26" t="inlineStr">
        <is>
          <t>Equity Multiplier (Assets / Equity)</t>
        </is>
      </c>
      <c r="B26" s="155" t="n">
        <v>1.3987</v>
      </c>
    </row>
    <row r="27">
      <c r="A27" t="inlineStr">
        <is>
          <t>Return on Equity (ROE)</t>
        </is>
      </c>
      <c r="B27" s="55" t="n">
        <v>0.8423</v>
      </c>
    </row>
    <row r="28"/>
    <row r="29">
      <c r="A29" s="1" t="inlineStr">
        <is>
          <t>GEOGRAPHIC REVENUE SPLIT</t>
        </is>
      </c>
      <c r="B29" s="22" t="n"/>
    </row>
    <row r="30">
      <c r="A30" t="inlineStr">
        <is>
          <t>United States</t>
        </is>
      </c>
      <c r="B30" s="49" t="n">
        <v>0.6929</v>
      </c>
      <c r="C30" s="103" t="inlineStr">
        <is>
          <t>████████████████████</t>
        </is>
      </c>
    </row>
    <row r="31">
      <c r="A31" t="inlineStr">
        <is>
          <t>Taiwan</t>
        </is>
      </c>
      <c r="B31" s="49" t="n">
        <v>0.1961</v>
      </c>
      <c r="C31" s="103" t="inlineStr">
        <is>
          <t>█████</t>
        </is>
      </c>
    </row>
    <row r="32">
      <c r="A32" t="inlineStr">
        <is>
          <t>China</t>
        </is>
      </c>
      <c r="B32" s="49" t="n">
        <v>0.0911</v>
      </c>
      <c r="C32" s="103" t="inlineStr">
        <is>
          <t>██</t>
        </is>
      </c>
    </row>
    <row r="33">
      <c r="A33" t="inlineStr">
        <is>
          <t>Other</t>
        </is>
      </c>
      <c r="B33" s="49" t="n">
        <v>0.0199</v>
      </c>
      <c r="C33" s="103" t="inlineStr"/>
    </row>
    <row r="34"/>
    <row r="35">
      <c r="A35" s="8" t="inlineStr">
        <is>
          <t>US / International</t>
        </is>
      </c>
      <c r="B35" s="8" t="inlineStr">
        <is>
          <t>69% / 31%</t>
        </is>
      </c>
    </row>
    <row r="36"/>
    <row r="37">
      <c r="A37" s="1" t="inlineStr">
        <is>
          <t>CUSTOMER CONCENTRATION</t>
        </is>
      </c>
      <c r="B37" s="22" t="n"/>
    </row>
    <row r="38">
      <c r="A38" s="104" t="inlineStr">
        <is>
          <t>Status: CONCENTRATED</t>
        </is>
      </c>
    </row>
    <row r="39">
      <c r="A39" t="inlineStr">
        <is>
          <t>22% of total revenue</t>
        </is>
      </c>
    </row>
    <row r="40">
      <c r="A40" t="inlineStr">
        <is>
          <t>14% of total revenue</t>
        </is>
      </c>
    </row>
    <row r="41"/>
    <row r="42" ht="52" customHeight="1">
      <c r="A42" s="105" t="inlineStr">
        <is>
          <t>For fiscal year 2026, sales to one direct customer represented 22% of total revenue and sales to another direct customer represented 14% of total revenue, all of which were primarily attributable to the Compute &amp; Networking segment. 40 Table of Contents Concentration of Revenue We refer to customers who purchase products directly from NVIDIA as direct customers, such as AIBs, distributors, ODMs, OEMs, CSPs, AI model makers, and system integrators. Direct Customers – For fiscal year 2026, sale...</t>
        </is>
      </c>
    </row>
    <row r="43"/>
    <row r="44">
      <c r="A44" s="1" t="inlineStr">
        <is>
          <t>VALUATION BY MULTIPLES</t>
        </is>
      </c>
    </row>
    <row r="45">
      <c r="A45" s="1" t="inlineStr">
        <is>
          <t>Method</t>
        </is>
      </c>
      <c r="B45" s="1" t="inlineStr">
        <is>
          <t>Low Multiple</t>
        </is>
      </c>
      <c r="C45" s="1" t="inlineStr">
        <is>
          <t>Mid Multiple</t>
        </is>
      </c>
      <c r="D45" s="1" t="inlineStr">
        <is>
          <t>High Multiple</t>
        </is>
      </c>
      <c r="E45" s="1" t="inlineStr">
        <is>
          <t>Low Price</t>
        </is>
      </c>
      <c r="F45" s="1" t="inlineStr">
        <is>
          <t>Mid Price</t>
        </is>
      </c>
      <c r="G45" s="1" t="inlineStr">
        <is>
          <t>High Price</t>
        </is>
      </c>
    </row>
    <row r="46">
      <c r="A46" t="inlineStr">
        <is>
          <t>Forward P/E</t>
        </is>
      </c>
      <c r="B46" s="156" t="n">
        <v>27.06559035</v>
      </c>
      <c r="C46" s="156" t="n">
        <v>31.841871</v>
      </c>
      <c r="D46" s="156" t="n">
        <v>36.61815165</v>
      </c>
      <c r="E46" s="157">
        <f>$B$21*B46</f>
        <v/>
      </c>
      <c r="F46" s="157">
        <f>$B$21*C46</f>
        <v/>
      </c>
      <c r="G46" s="157">
        <f>$B$21*D46</f>
        <v/>
      </c>
    </row>
    <row r="47">
      <c r="A47" t="inlineStr">
        <is>
          <t>EV/EBITDA</t>
        </is>
      </c>
      <c r="B47" s="156" t="n">
        <v>28.42995</v>
      </c>
      <c r="C47" s="156" t="n">
        <v>33.447</v>
      </c>
      <c r="D47" s="156" t="n">
        <v>38.46405</v>
      </c>
      <c r="E47" s="157">
        <f>IF($B$12&lt;&gt;0,($B$7*B47-$B$14+$B$13)/$B$12,0)</f>
        <v/>
      </c>
      <c r="F47" s="157">
        <f>IF($B$12&lt;&gt;0,($B$7*C47-$B$14+$B$13)/$B$12,0)</f>
        <v/>
      </c>
      <c r="G47" s="157">
        <f>IF($B$12&lt;&gt;0,($B$7*D47-$B$14+$B$13)/$B$12,0)</f>
        <v/>
      </c>
    </row>
    <row r="48">
      <c r="A48" t="inlineStr">
        <is>
          <t>EV/Revenue</t>
        </is>
      </c>
      <c r="B48" s="156" t="n">
        <v>15.86185</v>
      </c>
      <c r="C48" s="156" t="n">
        <v>18.661</v>
      </c>
      <c r="D48" s="156" t="n">
        <v>21.46015</v>
      </c>
      <c r="E48" s="157">
        <f>IF($B$12&lt;&gt;0,($B$9*B48-$B$14+$B$13)/$B$12,0)</f>
        <v/>
      </c>
      <c r="F48" s="157">
        <f>IF($B$12&lt;&gt;0,($B$9*C48-$B$14+$B$13)/$B$12,0)</f>
        <v/>
      </c>
      <c r="G48" s="157">
        <f>IF($B$12&lt;&gt;0,($B$9*D48-$B$14+$B$13)/$B$12,0)</f>
        <v/>
      </c>
    </row>
    <row r="49"/>
    <row r="50">
      <c r="A50" t="inlineStr">
        <is>
          <t>Current Market Price</t>
        </is>
      </c>
      <c r="B50" s="158" t="n">
        <v>230.36</v>
      </c>
    </row>
    <row r="51">
      <c r="A51" s="1" t="inlineStr">
        <is>
          <t>Premium / Discount to Mid</t>
        </is>
      </c>
    </row>
    <row r="52">
      <c r="A52" t="inlineStr">
        <is>
          <t>Forward P/E</t>
        </is>
      </c>
      <c r="B52" s="109">
        <f>IF(B50&lt;&gt;0,F46/B50-1,0)</f>
        <v/>
      </c>
    </row>
    <row r="53">
      <c r="A53" t="inlineStr">
        <is>
          <t>EV/EBITDA</t>
        </is>
      </c>
      <c r="B53" s="109">
        <f>IF(B50&lt;&gt;0,F47/B50-1,0)</f>
        <v/>
      </c>
    </row>
    <row r="54">
      <c r="A54" t="inlineStr">
        <is>
          <t>EV/Revenue</t>
        </is>
      </c>
      <c r="B54" s="109">
        <f>IF(B50&lt;&gt;0,F48/B50-1,0)</f>
        <v/>
      </c>
    </row>
    <row r="55"/>
    <row r="56">
      <c r="A56" s="1" t="inlineStr">
        <is>
          <t>VALUATION RANGE SUMMARY</t>
        </is>
      </c>
    </row>
    <row r="57">
      <c r="A57" t="inlineStr">
        <is>
          <t>Overall Low</t>
        </is>
      </c>
      <c r="B57" s="144">
        <f>MIN(E46,E47,E48)</f>
        <v/>
      </c>
    </row>
    <row r="58">
      <c r="A58" t="inlineStr">
        <is>
          <t>Overall Mid (Average)</t>
        </is>
      </c>
      <c r="B58" s="144">
        <f>AVERAGE(F46,F47,F48)</f>
        <v/>
      </c>
    </row>
    <row r="59">
      <c r="A59" t="inlineStr">
        <is>
          <t>Overall High</t>
        </is>
      </c>
      <c r="B59" s="144">
        <f>MAX(G46,G47,G48)</f>
        <v/>
      </c>
    </row>
    <row r="60"/>
    <row r="61">
      <c r="A61" s="1" t="inlineStr">
        <is>
          <t>METHOD RELEVANCE NOTES</t>
        </is>
      </c>
    </row>
    <row r="62">
      <c r="A62" t="inlineStr">
        <is>
          <t>Preferred Method</t>
        </is>
      </c>
      <c r="B62" s="110" t="inlineStr">
        <is>
          <t>EV/EBITDA</t>
        </is>
      </c>
    </row>
    <row r="63" ht="26" customHeight="1">
      <c r="A63" s="111" t="inlineStr">
        <is>
          <t>CAUTION: NVDA has 65% operating margins. EV/Revenue undervalues high-margin businesses because it ignores profitability. Weight EV/EBITDA and P/E more heavily.</t>
        </is>
      </c>
    </row>
  </sheetData>
  <mergeCells count="2">
    <mergeCell ref="A63:G63"/>
    <mergeCell ref="A42:G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2" customWidth="1" min="1" max="1"/>
    <col width="16" customWidth="1" min="2" max="2"/>
    <col width="16" customWidth="1" min="3" max="3"/>
    <col width="12" customWidth="1" min="4" max="4"/>
    <col width="12" customWidth="1" min="5" max="5"/>
    <col width="18" customWidth="1" min="6" max="6"/>
    <col width="40" customWidth="1" min="7" max="7"/>
  </cols>
  <sheetData>
    <row r="1">
      <c r="A1" s="32" t="inlineStr">
        <is>
          <t>Hyperscaler Capex Dependency — NVDA Leading Indicator</t>
        </is>
      </c>
    </row>
    <row r="2">
      <c r="A2" s="78" t="inlineStr">
        <is>
          <t>Hyperscaler-driven NVDA DC rev = Σ (capex × AI%) × NVDA take rate. YoY gap vs actual NVDA DC revenue is a 1-2 quarter leading indicator.</t>
        </is>
      </c>
    </row>
    <row r="3"/>
    <row r="4">
      <c r="A4" s="162" t="inlineStr">
        <is>
          <t>1) AI% of Capex (per hyperscaler)</t>
        </is>
      </c>
      <c r="B4" s="163" t="n"/>
      <c r="C4" s="163" t="n"/>
      <c r="D4" s="163" t="n"/>
      <c r="E4" s="163" t="n"/>
      <c r="F4" s="163" t="n"/>
      <c r="G4" s="163" t="n"/>
    </row>
    <row r="5">
      <c r="A5" s="164" t="inlineStr">
        <is>
          <t>Hyperscaler</t>
        </is>
      </c>
      <c r="B5" s="164" t="inlineStr">
        <is>
          <t>AI %</t>
        </is>
      </c>
      <c r="C5" s="164" t="inlineStr">
        <is>
          <t>Source</t>
        </is>
      </c>
      <c r="D5" s="164" t="inlineStr">
        <is>
          <t>Date</t>
        </is>
      </c>
      <c r="E5" s="164" t="inlineStr"/>
      <c r="F5" s="164" t="inlineStr"/>
      <c r="G5" s="164" t="inlineStr">
        <is>
          <t>Quote</t>
        </is>
      </c>
    </row>
    <row r="6">
      <c r="A6" s="8" t="inlineStr">
        <is>
          <t>MSFT</t>
        </is>
      </c>
      <c r="B6" s="165" t="n">
        <v>0.7</v>
      </c>
      <c r="C6" s="166" t="inlineStr">
        <is>
          <t>Q3 FY26 earnings 8-K (Apr 29 2026)</t>
        </is>
      </c>
      <c r="G6" t="inlineStr">
        <is>
          <t>Q3 FY26 (period ending ); capex commentary tied to Azure AI infrastructure expansion. ~70% AI-attributable per mgmt commentary on</t>
        </is>
      </c>
    </row>
    <row r="7">
      <c r="A7" s="8" t="inlineStr">
        <is>
          <t>META</t>
        </is>
      </c>
      <c r="B7" s="165" t="n">
        <v>0.8</v>
      </c>
      <c r="C7" s="166" t="inlineStr">
        <is>
          <t>Q1 CY26 earnings 8-K (Apr 29 2026)</t>
        </is>
      </c>
      <c r="G7" t="inlineStr">
        <is>
          <t>Q1 CY26 print; vast majority of 2026 capex growth tied to AI/servers per prior mgmt guidance. ~80% AI-attributable.</t>
        </is>
      </c>
    </row>
    <row r="8">
      <c r="A8" s="8" t="inlineStr">
        <is>
          <t>GOOGL</t>
        </is>
      </c>
      <c r="B8" s="165" t="n">
        <v>0.65</v>
      </c>
      <c r="C8" s="166" t="inlineStr">
        <is>
          <t>Q1 CY26 earnings 8-K (Apr 29 2026)</t>
        </is>
      </c>
      <c r="G8" t="inlineStr">
        <is>
          <t>Q1 CY26 print; AI/TPU infrastructure ~65% of Alphabet capex; data center build-out + Trillium/TPU.</t>
        </is>
      </c>
    </row>
    <row r="9">
      <c r="A9" s="8" t="inlineStr">
        <is>
          <t>AMZN</t>
        </is>
      </c>
      <c r="B9" s="165" t="n">
        <v>0.45</v>
      </c>
      <c r="C9" s="166" t="inlineStr">
        <is>
          <t>Q1 CY26 earnings 8-K (Apr 29 2026)</t>
        </is>
      </c>
      <c r="G9" t="inlineStr">
        <is>
          <t>Q1 CY26 print; AWS + AI share ~45% of total capex (balance is fulfillment / logistics infrastructure).</t>
        </is>
      </c>
    </row>
    <row r="10">
      <c r="A10" s="8" t="inlineStr">
        <is>
          <t>ORCL</t>
        </is>
      </c>
      <c r="B10" s="165" t="n">
        <v>0.8</v>
      </c>
      <c r="C10" s="166" t="inlineStr">
        <is>
          <t>Q3 FY26 earnings 8-K (Mar 10 2026)</t>
        </is>
      </c>
      <c r="G10" t="inlineStr">
        <is>
          <t>Q3 FY26 print; OCI + Stargate capex heavily AI-weighted. ~80% AI-attributable.</t>
        </is>
      </c>
    </row>
    <row r="11"/>
    <row r="12">
      <c r="A12" s="4" t="inlineStr">
        <is>
          <t>Yellow cells are editable.</t>
        </is>
      </c>
    </row>
    <row r="13"/>
    <row r="14">
      <c r="A14" s="162" t="inlineStr">
        <is>
          <t>2) Hyperscaler Capex TTM ($M)</t>
        </is>
      </c>
      <c r="B14" s="163" t="n"/>
      <c r="C14" s="163" t="n"/>
      <c r="D14" s="163" t="n"/>
      <c r="E14" s="163" t="n"/>
      <c r="F14" s="163" t="n"/>
      <c r="G14" s="163" t="n"/>
    </row>
    <row r="15">
      <c r="A15" s="164" t="inlineStr">
        <is>
          <t>Ticker</t>
        </is>
      </c>
      <c r="B15" s="164" t="inlineStr">
        <is>
          <t>Prior TTM</t>
        </is>
      </c>
      <c r="C15" s="164" t="inlineStr">
        <is>
          <t>Current TTM</t>
        </is>
      </c>
      <c r="D15" s="164" t="inlineStr">
        <is>
          <t>YoY</t>
        </is>
      </c>
      <c r="E15" s="164" t="inlineStr">
        <is>
          <t>AI %</t>
        </is>
      </c>
      <c r="F15" s="164" t="inlineStr">
        <is>
          <t>AI Capex (TTM)</t>
        </is>
      </c>
    </row>
    <row r="16">
      <c r="A16" s="8" t="inlineStr">
        <is>
          <t>MSFT</t>
        </is>
      </c>
      <c r="B16" s="51" t="n">
        <v>64551</v>
      </c>
      <c r="C16" s="167" t="n">
        <v>115948</v>
      </c>
      <c r="D16" s="168" t="n">
        <v>0.7962231413920776</v>
      </c>
      <c r="E16" s="49" t="n">
        <v>0.7</v>
      </c>
      <c r="F16" s="51" t="n">
        <v>81163.60000000001</v>
      </c>
    </row>
    <row r="17">
      <c r="A17" s="8" t="inlineStr">
        <is>
          <t>META</t>
        </is>
      </c>
      <c r="B17" s="51" t="n">
        <v>52162</v>
      </c>
      <c r="C17" s="167" t="n">
        <v>89325</v>
      </c>
      <c r="D17" s="168" t="n">
        <v>0.7124535102181665</v>
      </c>
      <c r="E17" s="49" t="n">
        <v>0.8</v>
      </c>
      <c r="F17" s="51" t="n">
        <v>71460</v>
      </c>
    </row>
    <row r="18">
      <c r="A18" s="8" t="inlineStr">
        <is>
          <t>GOOGL</t>
        </is>
      </c>
      <c r="B18" s="51" t="n">
        <v>66980</v>
      </c>
      <c r="C18" s="167" t="n">
        <v>132402</v>
      </c>
      <c r="D18" s="168" t="n">
        <v>0.976739325171693</v>
      </c>
      <c r="E18" s="49" t="n">
        <v>0.65</v>
      </c>
      <c r="F18" s="51" t="n">
        <v>86061.3</v>
      </c>
    </row>
    <row r="19">
      <c r="A19" s="8" t="inlineStr">
        <is>
          <t>AMZN</t>
        </is>
      </c>
      <c r="B19" s="51" t="n">
        <v>107656</v>
      </c>
      <c r="C19" s="167" t="n">
        <v>173028</v>
      </c>
      <c r="D19" s="168" t="n">
        <v>0.6072304376904213</v>
      </c>
      <c r="E19" s="49" t="n">
        <v>0.45</v>
      </c>
      <c r="F19" s="51" t="n">
        <v>77862.60000000001</v>
      </c>
    </row>
    <row r="20">
      <c r="A20" s="8" t="inlineStr">
        <is>
          <t>ORCL</t>
        </is>
      </c>
      <c r="B20" s="51" t="n">
        <v>21215</v>
      </c>
      <c r="C20" s="167" t="n">
        <v>55663</v>
      </c>
      <c r="D20" s="168" t="n">
        <v>1.623756775866132</v>
      </c>
      <c r="E20" s="49" t="n">
        <v>0.8</v>
      </c>
      <c r="F20" s="51" t="n">
        <v>44530.4</v>
      </c>
    </row>
    <row r="21">
      <c r="A21" s="164" t="inlineStr">
        <is>
          <t>TOTAL</t>
        </is>
      </c>
      <c r="B21" s="169" t="n">
        <v>312564</v>
      </c>
      <c r="C21" s="169" t="n">
        <v>566366</v>
      </c>
      <c r="D21" s="170" t="n">
        <v>0.8120001023790328</v>
      </c>
      <c r="E21" s="171" t="n">
        <v>0.6375345624560796</v>
      </c>
      <c r="F21" s="169" t="n">
        <v>361077.9</v>
      </c>
    </row>
    <row r="22"/>
    <row r="23">
      <c r="A23" s="162" t="inlineStr">
        <is>
          <t>3) NVDA DC Revenue Decomposition (TTM)</t>
        </is>
      </c>
      <c r="B23" s="163" t="n"/>
      <c r="C23" s="163" t="n"/>
      <c r="D23" s="163" t="n"/>
      <c r="E23" s="163" t="n"/>
      <c r="F23" s="163" t="n"/>
      <c r="G23" s="163" t="n"/>
    </row>
    <row r="24">
      <c r="B24" s="164" t="inlineStr">
        <is>
          <t>Prior TTM ($M)</t>
        </is>
      </c>
      <c r="C24" s="164" t="inlineStr">
        <is>
          <t>Current TTM ($M)</t>
        </is>
      </c>
      <c r="D24" s="164" t="inlineStr">
        <is>
          <t>YoY</t>
        </is>
      </c>
    </row>
    <row r="25">
      <c r="A25" s="172" t="inlineStr">
        <is>
          <t>Total hyperscaler capex</t>
        </is>
      </c>
      <c r="B25" s="51" t="n">
        <v>312564</v>
      </c>
      <c r="C25" s="51" t="n">
        <v>566366</v>
      </c>
      <c r="D25" s="168" t="n">
        <v>0.8120001023790328</v>
      </c>
    </row>
    <row r="26">
      <c r="A26" s="172" t="inlineStr">
        <is>
          <t>× weighted AI% → AI capex pool</t>
        </is>
      </c>
      <c r="B26" s="51" t="n">
        <v>195869.5</v>
      </c>
      <c r="C26" s="51" t="n">
        <v>361077.9</v>
      </c>
      <c r="D26" s="168" t="n">
        <v>0.8434615904977549</v>
      </c>
    </row>
    <row r="27"/>
    <row r="28">
      <c r="A28" s="8" t="inlineStr">
        <is>
          <t>NVDA take rate (share of AI capex going to NVDA GPUs)</t>
        </is>
      </c>
      <c r="C28" s="173" t="n">
        <v>0.4</v>
      </c>
      <c r="D28" s="4" t="inlineStr">
        <is>
          <t>(fixed)</t>
        </is>
      </c>
    </row>
    <row r="29"/>
    <row r="30">
      <c r="A30" s="8" t="inlineStr">
        <is>
          <t>→ Hyperscaler-driven NVDA DC rev</t>
        </is>
      </c>
      <c r="B30" s="169" t="n">
        <v>78347.8</v>
      </c>
      <c r="C30" s="169" t="n">
        <v>144431.16</v>
      </c>
    </row>
    <row r="31">
      <c r="A31" s="172" t="inlineStr">
        <is>
          <t>+ Non-hyperscaler NVDA DC rev</t>
        </is>
      </c>
      <c r="B31" s="51" t="n">
        <v>36838.2</v>
      </c>
      <c r="C31" s="51" t="n">
        <v>133366.84</v>
      </c>
      <c r="D31" s="168" t="n">
        <v>2.620340841843521</v>
      </c>
    </row>
    <row r="32">
      <c r="A32" s="8" t="inlineStr">
        <is>
          <t>Total NVDA DC revenue (actual)</t>
        </is>
      </c>
      <c r="B32" s="167" t="n">
        <v>115186</v>
      </c>
      <c r="C32" s="167" t="n">
        <v>277798</v>
      </c>
    </row>
    <row r="33"/>
    <row r="34">
      <c r="A34" s="8" t="inlineStr">
        <is>
          <t>Hyperscaler dependency ratio</t>
        </is>
      </c>
      <c r="B34" s="49" t="n">
        <v>0.6801850919382564</v>
      </c>
      <c r="C34" s="174" t="n">
        <v>0.5199143262370499</v>
      </c>
      <c r="D34" s="168" t="n">
        <v>-0.1602707657012065</v>
      </c>
    </row>
    <row r="35"/>
    <row r="36">
      <c r="A36" s="162" t="inlineStr">
        <is>
          <t>4) Leading Indicator — YoY Capex vs NVDA DC</t>
        </is>
      </c>
      <c r="B36" s="163" t="n"/>
      <c r="C36" s="163" t="n"/>
      <c r="D36" s="163" t="n"/>
      <c r="E36" s="163" t="n"/>
      <c r="F36" s="163" t="n"/>
      <c r="G36" s="163" t="n"/>
    </row>
    <row r="37">
      <c r="A37" s="172" t="inlineStr">
        <is>
          <t>Hyperscaler AI capex growth (YoY)</t>
        </is>
      </c>
      <c r="B37" s="168" t="n">
        <v>0.8434615904977549</v>
      </c>
    </row>
    <row r="38">
      <c r="A38" s="4" t="inlineStr">
        <is>
          <t>Leading indicator unavailable — need 8 quarters of capex data (have fewer). Will populate after next refresh.</t>
        </is>
      </c>
    </row>
    <row r="39"/>
    <row r="40" ht="80" customHeight="1">
      <c r="A40" s="175" t="inlineStr">
        <is>
          <t>How to read: Hyperscaler capex → AI capex → NVDA GPU revenue is a 1-2 quarter leading indicator. Hyperscalers guide capex on earnings calls before NVDA ships the silicon. Track the YoY gap each quarter: a negative gap (hyperscalers spending faster than NVDA ships) is the first observable sign of a supply-constrained upswing. A persistently positive gap (NVDA outgrowing hyperscaler capex) means non-hyperscaler demand is carrying the growth.</t>
        </is>
      </c>
    </row>
  </sheetData>
  <mergeCells count="1">
    <mergeCell ref="A40:G40"/>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pane xSplit="1" topLeftCell="B1" activePane="topRight" state="frozen"/>
      <selection pane="topRight" activeCell="A1" sqref="A1"/>
    </sheetView>
  </sheetViews>
  <sheetFormatPr baseColWidth="8" defaultRowHeight="15"/>
  <cols>
    <col width="2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32" t="inlineStr">
        <is>
          <t>Runway &amp; Dilution — NVIDIA CORP</t>
        </is>
      </c>
    </row>
    <row r="2">
      <c r="A2" s="33" t="inlineStr">
        <is>
          <t>Share discipline + cash runway ($Ms; shares in millions). Historical quarters only — raw parsed values, no forecasts.</t>
        </is>
      </c>
    </row>
    <row r="3">
      <c r="B3" s="6" t="inlineStr">
        <is>
          <t>Q325</t>
        </is>
      </c>
      <c r="C3" s="6" t="inlineStr">
        <is>
          <t>Q425</t>
        </is>
      </c>
      <c r="D3" s="6" t="inlineStr">
        <is>
          <t>Q126</t>
        </is>
      </c>
      <c r="E3" s="6" t="inlineStr">
        <is>
          <t>Q226</t>
        </is>
      </c>
      <c r="F3" s="6" t="inlineStr">
        <is>
          <t>Q326</t>
        </is>
      </c>
      <c r="G3" s="6" t="inlineStr">
        <is>
          <t>Q426</t>
        </is>
      </c>
      <c r="H3" s="6" t="inlineStr">
        <is>
          <t>Q127</t>
        </is>
      </c>
      <c r="I3" s="6" t="inlineStr">
        <is>
          <t>Q227</t>
        </is>
      </c>
    </row>
    <row r="4">
      <c r="A4" s="8" t="inlineStr">
        <is>
          <t>Diluted Shares (M)</t>
        </is>
      </c>
      <c r="B4" s="159" t="n">
        <v>24774</v>
      </c>
      <c r="D4" s="159" t="n">
        <v>24611</v>
      </c>
      <c r="E4" s="159" t="n">
        <v>24532</v>
      </c>
      <c r="F4" s="159" t="n">
        <v>24483</v>
      </c>
      <c r="H4" s="159" t="n">
        <v>24391</v>
      </c>
      <c r="I4" s="159" t="n">
        <v>24285</v>
      </c>
    </row>
    <row r="5">
      <c r="A5" s="8" t="inlineStr">
        <is>
          <t>Share Dilution y/y</t>
        </is>
      </c>
      <c r="B5" s="13" t="n">
        <v>-0.0067</v>
      </c>
      <c r="D5" s="13" t="n">
        <v>-0.0112</v>
      </c>
      <c r="E5" s="13" t="n">
        <v>-0.0127</v>
      </c>
      <c r="F5" s="13" t="n">
        <v>-0.0117</v>
      </c>
      <c r="H5" s="13" t="n">
        <v>-0.0089</v>
      </c>
      <c r="I5" s="13" t="n">
        <v>-0.0101</v>
      </c>
    </row>
    <row r="6">
      <c r="A6" s="8" t="inlineStr">
        <is>
          <t>SBC ($M)</t>
        </is>
      </c>
      <c r="B6" s="159" t="n">
        <v>1252</v>
      </c>
      <c r="C6" s="159" t="n">
        <v>1321</v>
      </c>
      <c r="D6" s="159" t="n">
        <v>1474</v>
      </c>
      <c r="E6" s="159" t="n">
        <v>1625</v>
      </c>
      <c r="F6" s="159" t="n">
        <v>1654</v>
      </c>
      <c r="G6" s="159" t="n">
        <v>1633</v>
      </c>
      <c r="H6" s="159" t="n">
        <v>1928</v>
      </c>
      <c r="I6" s="159" t="n">
        <v>2026</v>
      </c>
    </row>
    <row r="7">
      <c r="A7" s="8" t="inlineStr">
        <is>
          <t>SBC % of Revenue</t>
        </is>
      </c>
      <c r="B7" s="13" t="n">
        <v>0.0357</v>
      </c>
      <c r="C7" s="13" t="n">
        <v>0.0336</v>
      </c>
      <c r="D7" s="13" t="n">
        <v>0.0335</v>
      </c>
      <c r="E7" s="13" t="n">
        <v>0.0348</v>
      </c>
      <c r="F7" s="13" t="n">
        <v>0.029</v>
      </c>
      <c r="G7" s="13" t="n">
        <v>0.024</v>
      </c>
      <c r="H7" s="13" t="n">
        <v>0.0236</v>
      </c>
      <c r="I7" s="13" t="n">
        <v>0.0211</v>
      </c>
    </row>
    <row r="8"/>
    <row r="9">
      <c r="A9" s="8" t="inlineStr">
        <is>
          <t>Cash ($M)</t>
        </is>
      </c>
      <c r="B9" s="159" t="n">
        <v>9107</v>
      </c>
      <c r="C9" s="159" t="n">
        <v>8589</v>
      </c>
      <c r="D9" s="159" t="n">
        <v>15234</v>
      </c>
      <c r="E9" s="159" t="n">
        <v>11639</v>
      </c>
      <c r="F9" s="159" t="n">
        <v>11486</v>
      </c>
      <c r="G9" s="159" t="n">
        <v>10605</v>
      </c>
      <c r="H9" s="159" t="n">
        <v>13237</v>
      </c>
      <c r="I9" s="159" t="n">
        <v>22443</v>
      </c>
    </row>
    <row r="10">
      <c r="A10" s="8" t="inlineStr">
        <is>
          <t>Quarterly FCF ($M)</t>
        </is>
      </c>
      <c r="B10" s="159" t="n">
        <v>16814</v>
      </c>
      <c r="C10" s="159" t="n">
        <v>15552</v>
      </c>
      <c r="D10" s="159" t="n">
        <v>26187</v>
      </c>
      <c r="E10" s="159" t="n">
        <v>13470</v>
      </c>
      <c r="F10" s="159" t="n">
        <v>22115</v>
      </c>
      <c r="G10" s="159" t="n">
        <v>34904</v>
      </c>
      <c r="H10" s="159" t="n">
        <v>48587</v>
      </c>
      <c r="I10" s="159" t="n">
        <v>21400</v>
      </c>
    </row>
    <row r="11"/>
    <row r="12">
      <c r="A12" s="27" t="inlineStr">
        <is>
          <t>RUNWAY</t>
        </is>
      </c>
    </row>
    <row r="13">
      <c r="A13" s="8" t="inlineStr">
        <is>
          <t>TTM FCF ($M)</t>
        </is>
      </c>
      <c r="B13" s="152" t="n">
        <v>127006</v>
      </c>
    </row>
    <row r="14">
      <c r="A14" s="8" t="inlineStr">
        <is>
          <t>Runway</t>
        </is>
      </c>
      <c r="B14" s="120" t="inlineStr">
        <is>
          <t>Self-funding</t>
        </is>
      </c>
      <c r="C14" s="33" t="inlineStr">
        <is>
          <t>(TTM FCF positive — burn math not applicable)</t>
        </is>
      </c>
    </row>
    <row r="15"/>
    <row r="16">
      <c r="A16" s="33" t="inlineStr">
        <is>
          <t>HOW TO READ: Share Dilution y/y compares the same fiscal quarter a year back (Q4 weighted</t>
        </is>
      </c>
    </row>
    <row r="17">
      <c r="A17" s="33" t="inlineStr">
        <is>
          <t>averages can't be imputed, so some quarters may be blank). Dilution is NET — the diluted</t>
        </is>
      </c>
    </row>
    <row r="18">
      <c r="A18" s="33" t="inlineStr">
        <is>
          <t>count already reflects buybacks. Audit flags net dilution: YELLOW &gt; 4%/yr, RED &gt; 8%/yr</t>
        </is>
      </c>
    </row>
    <row r="19">
      <c r="A19" s="33" t="n"/>
    </row>
    <row r="20">
      <c r="A20" s="33" t="inlineStr">
        <is>
          <t>Quarterly FCF = CFFO - CX from raw filings. Runway = cash / average quarterly burn when</t>
        </is>
      </c>
    </row>
    <row r="21">
      <c r="A21" s="33" t="inlineStr">
        <is>
          <t>TTM FCF is negative. Under ~8 quarters of runway, expect a raise — model the dilution.</t>
        </is>
      </c>
    </row>
  </sheetData>
  <mergeCells count="6">
    <mergeCell ref="A19:I19"/>
    <mergeCell ref="A17:I17"/>
    <mergeCell ref="A18:I18"/>
    <mergeCell ref="A20:I20"/>
    <mergeCell ref="A21:I21"/>
    <mergeCell ref="A16:I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2026-09-05T04:58:20Z</dcterms:created>
  <dcterms:modified xmlns:dcterms="http://purl.org/dc/terms/" xmlns:xsi="http://www.w3.org/2001/XMLSchema-instance" xsi:type="dcterms:W3CDTF">2026-09-08T20:16:50Z</dcterms:modified>
</cp:coreProperties>
</file>