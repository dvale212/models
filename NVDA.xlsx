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tranc\Desktop\Models for sharing\"/>
    </mc:Choice>
  </mc:AlternateContent>
  <xr:revisionPtr revIDLastSave="0" documentId="13_ncr:1_{F8623685-446A-4514-9BD5-BD770FB1B311}" xr6:coauthVersionLast="36" xr6:coauthVersionMax="36" xr10:uidLastSave="{00000000-0000-0000-0000-000000000000}"/>
  <bookViews>
    <workbookView xWindow="0" yWindow="0" windowWidth="16920" windowHeight="9435" activeTab="8" xr2:uid="{00000000-000D-0000-FFFF-FFFF00000000}"/>
  </bookViews>
  <sheets>
    <sheet name="Model" sheetId="1" r:id="rId1"/>
    <sheet name="Drivers" sheetId="2" r:id="rId2"/>
    <sheet name="Scenarios" sheetId="3" r:id="rId3"/>
    <sheet name="DCF" sheetId="4" r:id="rId4"/>
    <sheet name="Reverse DCF" sheetId="5" r:id="rId5"/>
    <sheet name="Monte Carlo" sheetId="6" r:id="rId6"/>
    <sheet name="Comps" sheetId="7" r:id="rId7"/>
    <sheet name="Multiples" sheetId="8" r:id="rId8"/>
    <sheet name="Hyperscaler" sheetId="9" r:id="rId9"/>
  </sheets>
  <calcPr calcId="191029"/>
</workbook>
</file>

<file path=xl/calcChain.xml><?xml version="1.0" encoding="utf-8"?>
<calcChain xmlns="http://schemas.openxmlformats.org/spreadsheetml/2006/main">
  <c r="G48" i="8" l="1"/>
  <c r="F48" i="8"/>
  <c r="B55" i="8" s="1"/>
  <c r="E48" i="8"/>
  <c r="G47" i="8"/>
  <c r="F47" i="8"/>
  <c r="B54" i="8" s="1"/>
  <c r="E47" i="8"/>
  <c r="G46" i="8"/>
  <c r="F46" i="8"/>
  <c r="B53" i="8" s="1"/>
  <c r="E46" i="8"/>
  <c r="G45" i="8"/>
  <c r="B60" i="8" s="1"/>
  <c r="F45" i="8"/>
  <c r="B59" i="8" s="1"/>
  <c r="E45" i="8"/>
  <c r="B58" i="8" s="1"/>
  <c r="B77" i="4"/>
  <c r="B78" i="4" s="1"/>
  <c r="B75" i="4"/>
  <c r="B74" i="4"/>
  <c r="C61" i="4"/>
  <c r="C53" i="4"/>
  <c r="C60" i="4" s="1"/>
  <c r="G52" i="4"/>
  <c r="F52" i="4"/>
  <c r="E52" i="4"/>
  <c r="D52" i="4"/>
  <c r="C52" i="4"/>
  <c r="G8" i="3"/>
  <c r="G14" i="3" s="1"/>
  <c r="F8" i="3"/>
  <c r="F14" i="3" s="1"/>
  <c r="E8" i="3"/>
  <c r="E14" i="3" s="1"/>
  <c r="D8" i="3"/>
  <c r="D14" i="3" s="1"/>
  <c r="C8" i="3"/>
  <c r="C14" i="3" s="1"/>
  <c r="B8" i="3"/>
  <c r="B14" i="3" s="1"/>
  <c r="I12" i="2"/>
  <c r="E12" i="2"/>
  <c r="C12" i="2"/>
  <c r="B12" i="2"/>
  <c r="S11" i="2"/>
  <c r="R11" i="2"/>
  <c r="S10" i="2"/>
  <c r="R10" i="2"/>
  <c r="S9" i="2"/>
  <c r="R9" i="2"/>
  <c r="S8" i="2"/>
  <c r="R8" i="2"/>
  <c r="S7" i="2"/>
  <c r="R7" i="2"/>
  <c r="Q6" i="2"/>
  <c r="Q12" i="2" s="1"/>
  <c r="Q4" i="1" s="1"/>
  <c r="P6" i="2"/>
  <c r="P12" i="2" s="1"/>
  <c r="P4" i="1" s="1"/>
  <c r="O6" i="2"/>
  <c r="O12" i="2" s="1"/>
  <c r="O4" i="1" s="1"/>
  <c r="N6" i="2"/>
  <c r="N12" i="2" s="1"/>
  <c r="M6" i="2"/>
  <c r="M12" i="2" s="1"/>
  <c r="M4" i="1" s="1"/>
  <c r="L6" i="2"/>
  <c r="L12" i="2" s="1"/>
  <c r="L4" i="1" s="1"/>
  <c r="K6" i="2"/>
  <c r="K12" i="2" s="1"/>
  <c r="K4" i="1" s="1"/>
  <c r="J6" i="2"/>
  <c r="J12" i="2" s="1"/>
  <c r="I6" i="2"/>
  <c r="H6" i="2"/>
  <c r="H12" i="2" s="1"/>
  <c r="G6" i="2"/>
  <c r="G12" i="2" s="1"/>
  <c r="F6" i="2"/>
  <c r="F12" i="2" s="1"/>
  <c r="E6" i="2"/>
  <c r="D6" i="2"/>
  <c r="D12" i="2" s="1"/>
  <c r="C6" i="2"/>
  <c r="B6" i="2"/>
  <c r="S5" i="2"/>
  <c r="R5" i="2"/>
  <c r="S4" i="2"/>
  <c r="R4" i="2"/>
  <c r="C55" i="1"/>
  <c r="B55" i="1"/>
  <c r="C53" i="1"/>
  <c r="B53" i="1"/>
  <c r="C52" i="1"/>
  <c r="C49" i="1"/>
  <c r="B49" i="1"/>
  <c r="C48" i="1"/>
  <c r="B48" i="1"/>
  <c r="C45" i="1"/>
  <c r="B45" i="1"/>
  <c r="H41" i="1"/>
  <c r="F41" i="1"/>
  <c r="E41" i="1"/>
  <c r="I39" i="1"/>
  <c r="I41" i="1" s="1"/>
  <c r="H39" i="1"/>
  <c r="G39" i="1"/>
  <c r="G41" i="1" s="1"/>
  <c r="F39" i="1"/>
  <c r="E39" i="1"/>
  <c r="D39" i="1"/>
  <c r="D41" i="1" s="1"/>
  <c r="C39" i="1"/>
  <c r="C41" i="1" s="1"/>
  <c r="B39" i="1"/>
  <c r="B41" i="1" s="1"/>
  <c r="I32" i="1"/>
  <c r="H32" i="1"/>
  <c r="G32" i="1"/>
  <c r="F32" i="1"/>
  <c r="E32" i="1"/>
  <c r="D32" i="1"/>
  <c r="C32" i="1"/>
  <c r="B32" i="1"/>
  <c r="I25" i="1"/>
  <c r="H25" i="1"/>
  <c r="G25" i="1"/>
  <c r="F25" i="1"/>
  <c r="E25" i="1"/>
  <c r="D25" i="1"/>
  <c r="C25" i="1"/>
  <c r="B25" i="1"/>
  <c r="I24" i="1"/>
  <c r="H24" i="1"/>
  <c r="G24" i="1"/>
  <c r="F24" i="1"/>
  <c r="C56" i="1" s="1"/>
  <c r="E24" i="1"/>
  <c r="D24" i="1"/>
  <c r="C24" i="1"/>
  <c r="B24" i="1"/>
  <c r="B56" i="1" s="1"/>
  <c r="H20" i="1"/>
  <c r="F20" i="1"/>
  <c r="E20" i="1"/>
  <c r="I19" i="1"/>
  <c r="H19" i="1"/>
  <c r="G19" i="1"/>
  <c r="F19" i="1"/>
  <c r="I10" i="1"/>
  <c r="H10" i="1"/>
  <c r="G10" i="1"/>
  <c r="F10" i="1"/>
  <c r="E10" i="1"/>
  <c r="D10" i="1"/>
  <c r="C10" i="1"/>
  <c r="B10" i="1"/>
  <c r="I6" i="1"/>
  <c r="I11" i="1" s="1"/>
  <c r="H6" i="1"/>
  <c r="H11" i="1" s="1"/>
  <c r="G6" i="1"/>
  <c r="G11" i="1" s="1"/>
  <c r="F6" i="1"/>
  <c r="C46" i="1" s="1"/>
  <c r="E6" i="1"/>
  <c r="E11" i="1" s="1"/>
  <c r="D6" i="1"/>
  <c r="D20" i="1" s="1"/>
  <c r="C6" i="1"/>
  <c r="C20" i="1" s="1"/>
  <c r="B6" i="1"/>
  <c r="B20" i="1" s="1"/>
  <c r="K22" i="1" l="1"/>
  <c r="K9" i="1"/>
  <c r="K5" i="1"/>
  <c r="K6" i="1" s="1"/>
  <c r="K25" i="1"/>
  <c r="K23" i="1"/>
  <c r="K19" i="1"/>
  <c r="K12" i="1"/>
  <c r="K8" i="1"/>
  <c r="K10" i="1" s="1"/>
  <c r="N4" i="1"/>
  <c r="S12" i="2"/>
  <c r="L22" i="1"/>
  <c r="L23" i="1"/>
  <c r="L9" i="1"/>
  <c r="L6" i="1"/>
  <c r="L5" i="1"/>
  <c r="L19" i="1"/>
  <c r="L12" i="1"/>
  <c r="L8" i="1"/>
  <c r="O9" i="1"/>
  <c r="O5" i="1"/>
  <c r="O6" i="1" s="1"/>
  <c r="O23" i="1"/>
  <c r="O19" i="1"/>
  <c r="O12" i="1"/>
  <c r="O8" i="1"/>
  <c r="O10" i="1" s="1"/>
  <c r="O22" i="1"/>
  <c r="O24" i="1" s="1"/>
  <c r="Q23" i="1"/>
  <c r="Q19" i="1"/>
  <c r="Q12" i="1"/>
  <c r="Q8" i="1"/>
  <c r="Q10" i="1" s="1"/>
  <c r="Q9" i="1"/>
  <c r="Q22" i="1"/>
  <c r="Q24" i="1" s="1"/>
  <c r="Q5" i="1"/>
  <c r="Q6" i="1"/>
  <c r="Q11" i="1" s="1"/>
  <c r="Q13" i="1" s="1"/>
  <c r="M22" i="1"/>
  <c r="M9" i="1"/>
  <c r="M5" i="1"/>
  <c r="M6" i="1" s="1"/>
  <c r="M25" i="1"/>
  <c r="M23" i="1"/>
  <c r="M19" i="1"/>
  <c r="M12" i="1"/>
  <c r="M8" i="1"/>
  <c r="P9" i="1"/>
  <c r="P5" i="1"/>
  <c r="P6" i="1" s="1"/>
  <c r="P12" i="1"/>
  <c r="P23" i="1"/>
  <c r="P19" i="1"/>
  <c r="P8" i="1"/>
  <c r="P10" i="1" s="1"/>
  <c r="P22" i="1"/>
  <c r="P24" i="1" s="1"/>
  <c r="R12" i="2"/>
  <c r="J4" i="1"/>
  <c r="C11" i="1"/>
  <c r="G20" i="1"/>
  <c r="C57" i="4"/>
  <c r="I20" i="1"/>
  <c r="R6" i="2"/>
  <c r="D53" i="4"/>
  <c r="F11" i="1"/>
  <c r="S6" i="2"/>
  <c r="C55" i="4"/>
  <c r="C56" i="4" s="1"/>
  <c r="B46" i="1"/>
  <c r="B50" i="1"/>
  <c r="C50" i="1"/>
  <c r="B52" i="8"/>
  <c r="B11" i="1"/>
  <c r="C58" i="4"/>
  <c r="D11" i="1"/>
  <c r="P11" i="1" l="1"/>
  <c r="P13" i="1" s="1"/>
  <c r="P20" i="1"/>
  <c r="M20" i="1"/>
  <c r="K11" i="1"/>
  <c r="K13" i="1" s="1"/>
  <c r="K20" i="1"/>
  <c r="O11" i="1"/>
  <c r="O13" i="1" s="1"/>
  <c r="O20" i="1"/>
  <c r="E52" i="1"/>
  <c r="N9" i="1"/>
  <c r="N5" i="1"/>
  <c r="N6" i="1" s="1"/>
  <c r="N22" i="1"/>
  <c r="N24" i="1" s="1"/>
  <c r="E50" i="1" s="1"/>
  <c r="N23" i="1"/>
  <c r="N19" i="1"/>
  <c r="E45" i="1"/>
  <c r="N12" i="1"/>
  <c r="N8" i="1"/>
  <c r="B47" i="1"/>
  <c r="B54" i="1"/>
  <c r="L11" i="1"/>
  <c r="L13" i="1" s="1"/>
  <c r="Q14" i="1"/>
  <c r="Q15" i="1" s="1"/>
  <c r="P25" i="1"/>
  <c r="D60" i="4"/>
  <c r="D55" i="4"/>
  <c r="D56" i="4" s="1"/>
  <c r="D62" i="4" s="1"/>
  <c r="D65" i="4" s="1"/>
  <c r="D58" i="4"/>
  <c r="E53" i="4"/>
  <c r="D57" i="4"/>
  <c r="D61" i="4"/>
  <c r="L10" i="1"/>
  <c r="M24" i="1"/>
  <c r="C47" i="1"/>
  <c r="C54" i="1"/>
  <c r="L24" i="1"/>
  <c r="M10" i="1"/>
  <c r="M11" i="1" s="1"/>
  <c r="M13" i="1" s="1"/>
  <c r="L20" i="1"/>
  <c r="Q20" i="1"/>
  <c r="D52" i="1"/>
  <c r="J22" i="1"/>
  <c r="J24" i="1" s="1"/>
  <c r="D50" i="1" s="1"/>
  <c r="J9" i="1"/>
  <c r="J5" i="1"/>
  <c r="J6" i="1" s="1"/>
  <c r="J12" i="1"/>
  <c r="D45" i="1"/>
  <c r="J23" i="1"/>
  <c r="J19" i="1"/>
  <c r="J8" i="1"/>
  <c r="J10" i="1" s="1"/>
  <c r="O25" i="1"/>
  <c r="L25" i="1"/>
  <c r="C62" i="4"/>
  <c r="C65" i="4" s="1"/>
  <c r="Q25" i="1"/>
  <c r="K24" i="1"/>
  <c r="M15" i="1" l="1"/>
  <c r="M14" i="1"/>
  <c r="E46" i="1"/>
  <c r="E53" i="1"/>
  <c r="N20" i="1"/>
  <c r="D46" i="1"/>
  <c r="J11" i="1"/>
  <c r="J20" i="1"/>
  <c r="D53" i="1"/>
  <c r="D56" i="1"/>
  <c r="E56" i="1"/>
  <c r="J25" i="1"/>
  <c r="O14" i="1"/>
  <c r="O15" i="1" s="1"/>
  <c r="N10" i="1"/>
  <c r="N11" i="1" s="1"/>
  <c r="K14" i="1"/>
  <c r="K15" i="1" s="1"/>
  <c r="L14" i="1"/>
  <c r="L15" i="1" s="1"/>
  <c r="E60" i="4"/>
  <c r="E55" i="4"/>
  <c r="E56" i="4" s="1"/>
  <c r="E58" i="4"/>
  <c r="F53" i="4"/>
  <c r="E61" i="4"/>
  <c r="E57" i="4"/>
  <c r="N25" i="1"/>
  <c r="P14" i="1"/>
  <c r="P15" i="1" s="1"/>
  <c r="N13" i="1" l="1"/>
  <c r="E47" i="1"/>
  <c r="E54" i="1"/>
  <c r="F60" i="4"/>
  <c r="F55" i="4"/>
  <c r="F56" i="4" s="1"/>
  <c r="F62" i="4" s="1"/>
  <c r="F65" i="4" s="1"/>
  <c r="F58" i="4"/>
  <c r="G53" i="4"/>
  <c r="F57" i="4"/>
  <c r="F61" i="4"/>
  <c r="E62" i="4"/>
  <c r="E65" i="4" s="1"/>
  <c r="D47" i="1"/>
  <c r="J13" i="1"/>
  <c r="D54" i="1"/>
  <c r="G55" i="4" l="1"/>
  <c r="G56" i="4" s="1"/>
  <c r="G58" i="4"/>
  <c r="G60" i="4"/>
  <c r="G57" i="4"/>
  <c r="G61" i="4"/>
  <c r="J14" i="1"/>
  <c r="J15" i="1" s="1"/>
  <c r="N14" i="1"/>
  <c r="N15" i="1" s="1"/>
  <c r="E48" i="1" l="1"/>
  <c r="E55" i="1"/>
  <c r="J17" i="1"/>
  <c r="D48" i="1"/>
  <c r="D55" i="1"/>
  <c r="G62" i="4"/>
  <c r="G65" i="4" l="1"/>
  <c r="B70" i="4" s="1"/>
  <c r="B66" i="4"/>
  <c r="J16" i="1"/>
  <c r="K17" i="1"/>
  <c r="B82" i="4" l="1"/>
  <c r="B67" i="4"/>
  <c r="B71" i="4" s="1"/>
  <c r="L17" i="1"/>
  <c r="K16" i="1"/>
  <c r="B72" i="4"/>
  <c r="M17" i="1" l="1"/>
  <c r="L16" i="1"/>
  <c r="B76" i="4"/>
  <c r="B79" i="4" s="1"/>
  <c r="B86" i="4" s="1"/>
  <c r="B73" i="4"/>
  <c r="D49" i="1" l="1"/>
  <c r="N17" i="1"/>
  <c r="M16" i="1"/>
  <c r="O17" i="1" l="1"/>
  <c r="N16" i="1"/>
  <c r="P17" i="1" l="1"/>
  <c r="O16" i="1"/>
  <c r="P16" i="1" l="1"/>
  <c r="E49" i="1" s="1"/>
  <c r="Q17" i="1"/>
  <c r="Q16" i="1" s="1"/>
</calcChain>
</file>

<file path=xl/sharedStrings.xml><?xml version="1.0" encoding="utf-8"?>
<sst xmlns="http://schemas.openxmlformats.org/spreadsheetml/2006/main" count="499" uniqueCount="423">
  <si>
    <t>NVIDIA CORP</t>
  </si>
  <si>
    <t>Model Info</t>
  </si>
  <si>
    <t>Generated:     2026-04-12</t>
  </si>
  <si>
    <t>Q125</t>
  </si>
  <si>
    <t>Q225</t>
  </si>
  <si>
    <t>Q325</t>
  </si>
  <si>
    <t>Q425</t>
  </si>
  <si>
    <t>Q126</t>
  </si>
  <si>
    <t>Q226</t>
  </si>
  <si>
    <t>Q326</t>
  </si>
  <si>
    <t>Q426</t>
  </si>
  <si>
    <t>Q127</t>
  </si>
  <si>
    <t>Q227</t>
  </si>
  <si>
    <t>Q327</t>
  </si>
  <si>
    <t>Q427</t>
  </si>
  <si>
    <t>Q128</t>
  </si>
  <si>
    <t>Q228</t>
  </si>
  <si>
    <t>Q328</t>
  </si>
  <si>
    <t>Q428</t>
  </si>
  <si>
    <t>Next Earnings: 2026-05-20</t>
  </si>
  <si>
    <t>Revenue</t>
  </si>
  <si>
    <t>FY End:        Unknown</t>
  </si>
  <si>
    <t>COGS</t>
  </si>
  <si>
    <t>Gross Profit</t>
  </si>
  <si>
    <t>S&amp;M</t>
  </si>
  <si>
    <t>R&amp;D</t>
  </si>
  <si>
    <t>G&amp;A</t>
  </si>
  <si>
    <t>Operating Expenses</t>
  </si>
  <si>
    <t>Operating Income</t>
  </si>
  <si>
    <t>Interest Income</t>
  </si>
  <si>
    <t>Pretax Income</t>
  </si>
  <si>
    <t>Taxes</t>
  </si>
  <si>
    <t>Net Income</t>
  </si>
  <si>
    <t>EPS</t>
  </si>
  <si>
    <t>Shares</t>
  </si>
  <si>
    <t>Revenue y/y</t>
  </si>
  <si>
    <t>Gross Margin</t>
  </si>
  <si>
    <t>CFFO</t>
  </si>
  <si>
    <t>CX</t>
  </si>
  <si>
    <t>FCF</t>
  </si>
  <si>
    <t>CFFO margin</t>
  </si>
  <si>
    <t>Cash</t>
  </si>
  <si>
    <t>AR</t>
  </si>
  <si>
    <t>Prepaids</t>
  </si>
  <si>
    <t>PP&amp;E</t>
  </si>
  <si>
    <t>Goodwill</t>
  </si>
  <si>
    <t>ONCA</t>
  </si>
  <si>
    <t>Assets</t>
  </si>
  <si>
    <t>AP</t>
  </si>
  <si>
    <t>AL</t>
  </si>
  <si>
    <t>DR</t>
  </si>
  <si>
    <t>Debt</t>
  </si>
  <si>
    <t>ONCL</t>
  </si>
  <si>
    <t>SE</t>
  </si>
  <si>
    <t>L+SE</t>
  </si>
  <si>
    <t>ANNUAL SUMMARY ($M)</t>
  </si>
  <si>
    <t>FY2025</t>
  </si>
  <si>
    <t>FY2026</t>
  </si>
  <si>
    <t>FY2027</t>
  </si>
  <si>
    <t>FY2028</t>
  </si>
  <si>
    <t>Revenue Growth</t>
  </si>
  <si>
    <t>Operating Margin</t>
  </si>
  <si>
    <t>Net Margin</t>
  </si>
  <si>
    <t>FCF Margin</t>
  </si>
  <si>
    <t>NVIDIA CORP - Revenue Drivers</t>
  </si>
  <si>
    <t>Input quarterly segment estimates in yellow cells ($Ms). Q4 columns show annual 10-K totals as reference.</t>
  </si>
  <si>
    <t>Q425 (FY)</t>
  </si>
  <si>
    <t>Q426 (FY)</t>
  </si>
  <si>
    <t>FY2027E</t>
  </si>
  <si>
    <t>FY2028E</t>
  </si>
  <si>
    <t xml:space="preserve">  Compute</t>
  </si>
  <si>
    <t xml:space="preserve">  Networking</t>
  </si>
  <si>
    <t>Data Center</t>
  </si>
  <si>
    <t>Gaming</t>
  </si>
  <si>
    <t>Professional Visualization</t>
  </si>
  <si>
    <t>Automotive</t>
  </si>
  <si>
    <t>OEM and Other</t>
  </si>
  <si>
    <t>Total Revenue (Driver-Based)</t>
  </si>
  <si>
    <t>Scenario Manager - NVIDIA CORP (NVDA)</t>
  </si>
  <si>
    <t>SEGMENT REVENUE BY SCENARIO ($M)</t>
  </si>
  <si>
    <t>Segment</t>
  </si>
  <si>
    <t>FY27E Bear</t>
  </si>
  <si>
    <t>FY27E Base</t>
  </si>
  <si>
    <t>FY27E Bull</t>
  </si>
  <si>
    <t>FY28E Bear</t>
  </si>
  <si>
    <t>FY28E Base</t>
  </si>
  <si>
    <t>FY28E Bull</t>
  </si>
  <si>
    <t>TOTAL REVENUE</t>
  </si>
  <si>
    <t>Scenario spread (historical segment volatility):</t>
  </si>
  <si>
    <t xml:space="preserve">  Networking: ±50%</t>
  </si>
  <si>
    <t xml:space="preserve">  Professional Visualization: ±50%</t>
  </si>
  <si>
    <t xml:space="preserve">  OEM and Other: ±37%</t>
  </si>
  <si>
    <t xml:space="preserve">  Compute: ±36%</t>
  </si>
  <si>
    <t xml:space="preserve">  Automotive: ±31%</t>
  </si>
  <si>
    <t xml:space="preserve">  Gaming: ±28%</t>
  </si>
  <si>
    <t>DCF Valuation — NVIDIA CORP (NVDA)</t>
  </si>
  <si>
    <t>ASSUMPTIONS</t>
  </si>
  <si>
    <t>WACC</t>
  </si>
  <si>
    <t>Terminal Growth Rate</t>
  </si>
  <si>
    <t>Tax Rate</t>
  </si>
  <si>
    <t>Operating Margin (TTM)</t>
  </si>
  <si>
    <t>CapEx % of Revenue</t>
  </si>
  <si>
    <t>Maintenance CapEx %</t>
  </si>
  <si>
    <t>D&amp;A % of Revenue</t>
  </si>
  <si>
    <t>NWC % of Revenue</t>
  </si>
  <si>
    <t>SBC % of Revenue</t>
  </si>
  <si>
    <t>Net Dilution Rate (SBC - Buybacks)</t>
  </si>
  <si>
    <t>WACC BUILD</t>
  </si>
  <si>
    <t>Risk-Free Rate (Rf)</t>
  </si>
  <si>
    <t>Equity Risk Premium (ERP)</t>
  </si>
  <si>
    <t>Raw Beta</t>
  </si>
  <si>
    <t>Blume-Adjusted Beta (Own)</t>
  </si>
  <si>
    <t>Peer Blume Beta</t>
  </si>
  <si>
    <t>Blended Beta</t>
  </si>
  <si>
    <t>Cost of Equity (Ke = Rf + β×ERP)</t>
  </si>
  <si>
    <t>Pre-Tax Cost of Debt</t>
  </si>
  <si>
    <t>After-Tax Cost of Debt</t>
  </si>
  <si>
    <t>Equity Weight (E/V)</t>
  </si>
  <si>
    <t>Debt Weight (D/V)</t>
  </si>
  <si>
    <t>→ WACC = (E/V)×Ke + (D/V)×Kd×(1-t)</t>
  </si>
  <si>
    <t>Beta Method:</t>
  </si>
  <si>
    <t>Peer-blended (curated BETA_PEERS)</t>
  </si>
  <si>
    <t>Sources:</t>
  </si>
  <si>
    <t>Rf = Yahoo ^TNX (daily) | ERP = Damodaran (monthly)</t>
  </si>
  <si>
    <t>Revenue Growth Rates:</t>
  </si>
  <si>
    <t xml:space="preserve">  Year 1</t>
  </si>
  <si>
    <t xml:space="preserve">  Year 2</t>
  </si>
  <si>
    <t xml:space="preserve">  Year 3</t>
  </si>
  <si>
    <t xml:space="preserve">  Year 4</t>
  </si>
  <si>
    <t xml:space="preserve">  Year 5</t>
  </si>
  <si>
    <t>TTM FINANCIALS ($M)</t>
  </si>
  <si>
    <t>Stock-Based Comp</t>
  </si>
  <si>
    <t>Share Buybacks</t>
  </si>
  <si>
    <t>CapEx</t>
  </si>
  <si>
    <t>Shares Outstanding</t>
  </si>
  <si>
    <t>PROJECTED FREE CASH FLOW ($M)</t>
  </si>
  <si>
    <t>TTM</t>
  </si>
  <si>
    <t>Year 1</t>
  </si>
  <si>
    <t>Year 2</t>
  </si>
  <si>
    <t>Year 3</t>
  </si>
  <si>
    <t>Year 4</t>
  </si>
  <si>
    <t>Year 5</t>
  </si>
  <si>
    <t>NOPAT</t>
  </si>
  <si>
    <t>D&amp;A</t>
  </si>
  <si>
    <t>CapEx %</t>
  </si>
  <si>
    <t>Change in NWC</t>
  </si>
  <si>
    <t>Free Cash Flow</t>
  </si>
  <si>
    <t>DISCOUNTED CASH FLOWS ($M)</t>
  </si>
  <si>
    <t>PV of FCF</t>
  </si>
  <si>
    <t>Terminal Value</t>
  </si>
  <si>
    <t>PV of Terminal Value</t>
  </si>
  <si>
    <t>VALUATION SUMMARY</t>
  </si>
  <si>
    <t>Sum of PV(FCFs)</t>
  </si>
  <si>
    <t>Enterprise Value</t>
  </si>
  <si>
    <t>Terminal Value % of EV</t>
  </si>
  <si>
    <t>Less: Debt</t>
  </si>
  <si>
    <t>Plus: Cash</t>
  </si>
  <si>
    <t>Equity Value</t>
  </si>
  <si>
    <t>Current Shares (M)</t>
  </si>
  <si>
    <t>Diluted Shares (M, End of Projection)</t>
  </si>
  <si>
    <t>Implied Share Price</t>
  </si>
  <si>
    <t>TERMINAL VALUE CROSS-CHECK</t>
  </si>
  <si>
    <t>Perpetuity Growth Method</t>
  </si>
  <si>
    <t>Exit Multiple Method (13x EBITDA)</t>
  </si>
  <si>
    <t>Note: Compare both methods. Large gaps suggest fragile assumptions.</t>
  </si>
  <si>
    <t>Current Market Price</t>
  </si>
  <si>
    <t>Upside / Downside</t>
  </si>
  <si>
    <t>SCENARIO ANALYSIS</t>
  </si>
  <si>
    <t>Scenarios driven by per-segment historical volatility (1-sigma bands)</t>
  </si>
  <si>
    <t>Bear - NVDA supply-bound: TSMC wafer/HBM bottleneck or 3-5yr ASIC erosion (demand confirmed 5/5 hyperscalers 2026)</t>
  </si>
  <si>
    <t>Base</t>
  </si>
  <si>
    <t>Bull - NVDA supply execution: Blackwell yield gains, earlier Rubin ramp, hyperscalers raise 2026 capex again</t>
  </si>
  <si>
    <t>vs Current Price</t>
  </si>
  <si>
    <t>Year 1 Growth</t>
  </si>
  <si>
    <t>Year 5 Growth</t>
  </si>
  <si>
    <t>Year 1 Op Margin</t>
  </si>
  <si>
    <t>Year 5 Op Margin</t>
  </si>
  <si>
    <t>Net Dilution (SBC - Buybacks)</t>
  </si>
  <si>
    <t>MARGIN REVERSION (stress case — base growth, mid-cycle margins)</t>
  </si>
  <si>
    <t>Stress Implied Share Price</t>
  </si>
  <si>
    <t>vs Base Case ($147.65)</t>
  </si>
  <si>
    <t>vs Current Market ($188.63)</t>
  </si>
  <si>
    <t>Year 1 → Year N Op Margin</t>
  </si>
  <si>
    <t>60.4% → 50.0%</t>
  </si>
  <si>
    <t>Holds driver-based revenue growth constant. Fades op margin linearly from TTM to MARGIN_TARGET − 5pp. Tests what happens if today's peak margins normalize to mid-cycle without any change in revenue trajectory.</t>
  </si>
  <si>
    <t>SENSITIVITY: WACC × Terminal Growth → Implied Price</t>
  </si>
  <si>
    <t>Each cell shows the implied share price under that WACC / Terminal Growth combo</t>
  </si>
  <si>
    <t>WACC ↓ / TGR →</t>
  </si>
  <si>
    <t>Reverse DCF — NVIDIA CORP (NVDA)</t>
  </si>
  <si>
    <t>RESULT</t>
  </si>
  <si>
    <t>Implied Annual FCF Growth</t>
  </si>
  <si>
    <t>Current Stock Price</t>
  </si>
  <si>
    <t>HISTORICAL REVENUE GROWTH (CAGR)</t>
  </si>
  <si>
    <t>1yr Avg Revenue Growth</t>
  </si>
  <si>
    <t>3yr Avg Revenue Growth</t>
  </si>
  <si>
    <t>5yr Avg Revenue Growth</t>
  </si>
  <si>
    <t>✓ Market implies 41% growth vs 102% historical — conservative pricing</t>
  </si>
  <si>
    <t>The market expects very high growth (41%/yr). High expectations = high risk if growth slows.</t>
  </si>
  <si>
    <t>ASSUMPTIONS USED</t>
  </si>
  <si>
    <t>SENSITIVITY TABLE</t>
  </si>
  <si>
    <t>Implied FCF Growth Rate for different WACC / Terminal Growth combos</t>
  </si>
  <si>
    <t>GROWTH × MARGIN GRID (Implied Price)</t>
  </si>
  <si>
    <t>Each cell = implied share price for that (revenue CAGR, op margin) combo. Find the cell closest to current price; that pair is what the market is pricing.</t>
  </si>
  <si>
    <t>Op Margin ↓ / Rev CAGR →</t>
  </si>
  <si>
    <t>MARKET-IMPLIED WACC</t>
  </si>
  <si>
    <t>Holding our growth and margin base case, what discount rate does today's price imply? If this is materially below our computed WACC, the market is pricing less risk than our beta methodology assumes.</t>
  </si>
  <si>
    <t>Our Computed WACC</t>
  </si>
  <si>
    <t>Market-Implied WACC</t>
  </si>
  <si>
    <t>Gap (Ours − Market)</t>
  </si>
  <si>
    <t>Monte Carlo DCF Simulation - NVIDIA CORP (NVDA)</t>
  </si>
  <si>
    <t>METHODOLOGY</t>
  </si>
  <si>
    <t>1,000 iterations (1,000 valid)</t>
  </si>
  <si>
    <t>Operating variables: correlated blend between Bear/Base/Bull scenarios</t>
  </si>
  <si>
    <t>WACC: Normal(12.5%, 1.0% std) | TGR: Triangular(2.5%, 3.5%, 4.5%)</t>
  </si>
  <si>
    <t>Seed: 42 (deterministic — same inputs produce same output)</t>
  </si>
  <si>
    <t>SUMMARY STATISTICS</t>
  </si>
  <si>
    <t>Mean Implied Price</t>
  </si>
  <si>
    <t>Median Implied Price (50th pctl)</t>
  </si>
  <si>
    <t>Standard Deviation</t>
  </si>
  <si>
    <t>PERCENTILE TABLE</t>
  </si>
  <si>
    <t>Percentile</t>
  </si>
  <si>
    <t>Implied Price</t>
  </si>
  <si>
    <t>vs Current</t>
  </si>
  <si>
    <t>5th</t>
  </si>
  <si>
    <t>25th</t>
  </si>
  <si>
    <t>50th</t>
  </si>
  <si>
    <t>75th</t>
  </si>
  <si>
    <t>95th</t>
  </si>
  <si>
    <t>PROBABILITY ANALYSIS</t>
  </si>
  <si>
    <t>Current Share Price</t>
  </si>
  <si>
    <t>P(Undervalued)</t>
  </si>
  <si>
    <t>Majority of scenarios imply downside</t>
  </si>
  <si>
    <t>SCENARIO ANCHORS</t>
  </si>
  <si>
    <t>Bear Implied</t>
  </si>
  <si>
    <t>Base Implied</t>
  </si>
  <si>
    <t>Bull Implied</t>
  </si>
  <si>
    <t>PRICE DISTRIBUTION</t>
  </si>
  <si>
    <t>$77-$86</t>
  </si>
  <si>
    <t>█</t>
  </si>
  <si>
    <t>(4)</t>
  </si>
  <si>
    <t>$86-$96</t>
  </si>
  <si>
    <t>██████</t>
  </si>
  <si>
    <t>(19)</t>
  </si>
  <si>
    <t>$96-$105</t>
  </si>
  <si>
    <t>██████████████</t>
  </si>
  <si>
    <t>(44)</t>
  </si>
  <si>
    <t>$105-$114</t>
  </si>
  <si>
    <t>███████████████████</t>
  </si>
  <si>
    <t>(61)</t>
  </si>
  <si>
    <t>$114-$123</t>
  </si>
  <si>
    <t>███████████████████████████</t>
  </si>
  <si>
    <t>(85)</t>
  </si>
  <si>
    <t>$123-$132</t>
  </si>
  <si>
    <t>█████████████████████████████████</t>
  </si>
  <si>
    <t>(103)</t>
  </si>
  <si>
    <t>$132-$142</t>
  </si>
  <si>
    <t>█████████████████████████████████████</t>
  </si>
  <si>
    <t>(115)</t>
  </si>
  <si>
    <t>$142-$151</t>
  </si>
  <si>
    <t>████████████████████████████████████████</t>
  </si>
  <si>
    <t>(124)</t>
  </si>
  <si>
    <t>$151-$160</t>
  </si>
  <si>
    <t>████████████████████████████████████</t>
  </si>
  <si>
    <t>(113)</t>
  </si>
  <si>
    <t>$160-$169</t>
  </si>
  <si>
    <t>$169-$178</t>
  </si>
  <si>
    <t>█████████████████████████</t>
  </si>
  <si>
    <t>(78)</t>
  </si>
  <si>
    <t>$178-$188</t>
  </si>
  <si>
    <t>████████████████</t>
  </si>
  <si>
    <t>(50)</t>
  </si>
  <si>
    <t>$188-$197</t>
  </si>
  <si>
    <t>███████████</t>
  </si>
  <si>
    <t>(37)</t>
  </si>
  <si>
    <t>$197-$206</t>
  </si>
  <si>
    <t>███████</t>
  </si>
  <si>
    <t>(24)</t>
  </si>
  <si>
    <t>$206-$215</t>
  </si>
  <si>
    <t>████</t>
  </si>
  <si>
    <t>(14)</t>
  </si>
  <si>
    <t>$215-$224</t>
  </si>
  <si>
    <t>██</t>
  </si>
  <si>
    <t>(8)</t>
  </si>
  <si>
    <t>$224-$234</t>
  </si>
  <si>
    <t>(5)</t>
  </si>
  <si>
    <t>$234-$243</t>
  </si>
  <si>
    <t>(0)</t>
  </si>
  <si>
    <t>$243-$252</t>
  </si>
  <si>
    <t>$252-$261</t>
  </si>
  <si>
    <t>(1)</t>
  </si>
  <si>
    <t>Comparable Company Analysis</t>
  </si>
  <si>
    <t>Ticker</t>
  </si>
  <si>
    <t>Company</t>
  </si>
  <si>
    <t>Market Cap ($B)</t>
  </si>
  <si>
    <t>Price</t>
  </si>
  <si>
    <t>Trailing P/E</t>
  </si>
  <si>
    <t>Forward P/E</t>
  </si>
  <si>
    <t>EV/EBITDA</t>
  </si>
  <si>
    <t>P/S</t>
  </si>
  <si>
    <t>EV/Rev</t>
  </si>
  <si>
    <t>P/B</t>
  </si>
  <si>
    <t>PEG</t>
  </si>
  <si>
    <t>Rev Growth</t>
  </si>
  <si>
    <t>Op Margin</t>
  </si>
  <si>
    <t>ROE</t>
  </si>
  <si>
    <t>Div Yield</t>
  </si>
  <si>
    <t>AVGO</t>
  </si>
  <si>
    <t>Broadcom Inc.</t>
  </si>
  <si>
    <t>TSM</t>
  </si>
  <si>
    <t>Taiwan Semiconductor Manufactur</t>
  </si>
  <si>
    <t>MU</t>
  </si>
  <si>
    <t>Micron Technology, Inc.</t>
  </si>
  <si>
    <t>Median</t>
  </si>
  <si>
    <t>Multiple-Based Valuation — NVIDIA CORP (NVDA)</t>
  </si>
  <si>
    <t>Peers: AVGO, TSM, MU</t>
  </si>
  <si>
    <t>FORWARD METRICS ($M)</t>
  </si>
  <si>
    <t>NTM EPS (Trailing Margin)</t>
  </si>
  <si>
    <t>Normalized EPS (Mid-Cycle Avg Margin)</t>
  </si>
  <si>
    <t>NTM EBITDA (Projected OpInc + D&amp;A)</t>
  </si>
  <si>
    <t>NTM EBIT (Operating Income)</t>
  </si>
  <si>
    <t>NTM Revenue (Projected)</t>
  </si>
  <si>
    <t>TTM Free Cash Flow</t>
  </si>
  <si>
    <t>FCF Yield (TTM FCF / EV)</t>
  </si>
  <si>
    <t>Shares Outstanding (M)</t>
  </si>
  <si>
    <t>Book Value (Stockholders' Equity)</t>
  </si>
  <si>
    <t>Book Value Per Share</t>
  </si>
  <si>
    <t>Price / Book</t>
  </si>
  <si>
    <t>Inventory</t>
  </si>
  <si>
    <t>Inventory Turnover (COGS / Inv)</t>
  </si>
  <si>
    <t>Days Inventory Outstanding</t>
  </si>
  <si>
    <t>DUPONT ROE DECOMPOSITION</t>
  </si>
  <si>
    <t>Net Profit Margin (NI / Revenue)</t>
  </si>
  <si>
    <t>Asset Turnover (Revenue / Assets)</t>
  </si>
  <si>
    <t>Equity Multiplier (Assets / Equity)</t>
  </si>
  <si>
    <t>Return on Equity (ROE)</t>
  </si>
  <si>
    <t>GEOGRAPHIC REVENUE SPLIT</t>
  </si>
  <si>
    <t>(Source: 10-K filing)</t>
  </si>
  <si>
    <t>United States</t>
  </si>
  <si>
    <t>████████████████████</t>
  </si>
  <si>
    <t>Taiwan</t>
  </si>
  <si>
    <t>█████</t>
  </si>
  <si>
    <t>China</t>
  </si>
  <si>
    <t>Other</t>
  </si>
  <si>
    <t>US / International</t>
  </si>
  <si>
    <t>69% / 31%</t>
  </si>
  <si>
    <t>CUSTOMER CONCENTRATION</t>
  </si>
  <si>
    <t>Status: CONCENTRATED</t>
  </si>
  <si>
    <t xml:space="preserve">  22% of total revenue</t>
  </si>
  <si>
    <t xml:space="preserve">  14% of total revenue</t>
  </si>
  <si>
    <t>VALUATION BY MULTIPLES</t>
  </si>
  <si>
    <t>Method</t>
  </si>
  <si>
    <t>Low Multiple</t>
  </si>
  <si>
    <t>Mid Multiple</t>
  </si>
  <si>
    <t>High Multiple</t>
  </si>
  <si>
    <t>Low Price</t>
  </si>
  <si>
    <t>Mid Price</t>
  </si>
  <si>
    <t>High Price</t>
  </si>
  <si>
    <t>EV/EBIT</t>
  </si>
  <si>
    <t>EV/Revenue</t>
  </si>
  <si>
    <t>Premium / Discount to Mid</t>
  </si>
  <si>
    <t>VALUATION RANGE SUMMARY</t>
  </si>
  <si>
    <t>Overall Low</t>
  </si>
  <si>
    <t>Overall Mid (Average)</t>
  </si>
  <si>
    <t>Overall High</t>
  </si>
  <si>
    <t>METHOD RELEVANCE NOTES</t>
  </si>
  <si>
    <t>Preferred Method</t>
  </si>
  <si>
    <t>CAUTION: NVDA has 60% operating margins. EV/Revenue undervalues high-margin businesses because it ignores profitability. Weight EV/EBITDA and P/E more heavily.</t>
  </si>
  <si>
    <t>Hyperscaler Capex Dependency — NVDA Leading Indicator</t>
  </si>
  <si>
    <t>Hyperscaler-driven NVDA DC rev = Σ (capex × AI%) × NVDA take rate. YoY gap vs actual NVDA DC revenue is a 1-2 quarter leading indicator.</t>
  </si>
  <si>
    <t>1) AI% of Capex (per hyperscaler)</t>
  </si>
  <si>
    <t>Hyperscaler</t>
  </si>
  <si>
    <t>AI %</t>
  </si>
  <si>
    <t>Source</t>
  </si>
  <si>
    <t>Date</t>
  </si>
  <si>
    <t>Quote</t>
  </si>
  <si>
    <t>MSFT</t>
  </si>
  <si>
    <t>MSFT Q2 FY2026 earnings call (Amy Hood, CFO)</t>
  </si>
  <si>
    <t>2026-01-28</t>
  </si>
  <si>
    <t>Capital expenditures were $37.5B, roughly two-thirds was on short-lived assets, primarily GPUs and CPUs. Customer demand exceeds supply.</t>
  </si>
  <si>
    <t>META</t>
  </si>
  <si>
    <t>META Q4 2025 (Susan Li) — formula: prior 80% × $69.7B + 95% × $55.3B incremental / $125B guide midpoint = 87%</t>
  </si>
  <si>
    <t>https://s21.q4cdn.com/399680738/files/doc_financials/2025/q4/META-Q4-2025-Earnings-Call-Transcript.pdf</t>
  </si>
  <si>
    <t>GOOGL</t>
  </si>
  <si>
    <t>GOOGL Q4 2025 (Anat Ashkenazi) — Class C formula: prior 65% × $91.4B + 85% marg × $88.6B incr / $180B guide midpoint = 75%</t>
  </si>
  <si>
    <t>2026-02-04</t>
  </si>
  <si>
    <t>$91.4B 2025 capex; $175-185B 2026 guide; "vast majority" of capex in technical infrastructure (60% servers / 40% DC+networking); 2026 driver</t>
  </si>
  <si>
    <t>AMZN</t>
  </si>
  <si>
    <t>AMZN Q4 2025 (Andy Jassy) — "$200B 2026 capex, predominantly in AWS... most of it is in AI"; decomposition: 0.45×$130B + 0.85×$70B incr / $200B = 60%</t>
  </si>
  <si>
    <t>2026-02-06</t>
  </si>
  <si>
    <t>https://finance.yahoo.com/quote/AMZN/earnings/AMZN-Q4-2025-earnings_call-406163.html?err=1</t>
  </si>
  <si>
    <t>ORCL</t>
  </si>
  <si>
    <t>ORCL Q3 FY2026 (Clay Magouyrk) — Class C, pure AI infra read: AI infra rev +243% YoY, $553B RPO "directly visible" to AI supply-demand, 10GW secured, &gt;90% partner-funded. Non-AI residual = core OCI + enterprise infra ~15%</t>
  </si>
  <si>
    <t>2026-03-10</t>
  </si>
  <si>
    <t>https://finance.yahoo.com/quote/ORCL/earnings/ORCL-Q3-2026-earnings_call-529436.html?err=1</t>
  </si>
  <si>
    <t>Yellow cells are editable. Values persist in data/raw/hyperscaler_config.json.</t>
  </si>
  <si>
    <t>2) Hyperscaler Capex TTM ($M)</t>
  </si>
  <si>
    <t>Prior TTM</t>
  </si>
  <si>
    <t>Current TTM</t>
  </si>
  <si>
    <t>YoY</t>
  </si>
  <si>
    <t>AI Capex (TTM)</t>
  </si>
  <si>
    <t>TOTAL</t>
  </si>
  <si>
    <t>3) NVDA DC Revenue Decomposition (TTM)</t>
  </si>
  <si>
    <t>Prior TTM ($M)</t>
  </si>
  <si>
    <t>Current TTM ($M)</t>
  </si>
  <si>
    <t>Total hyperscaler capex</t>
  </si>
  <si>
    <t xml:space="preserve">  × weighted AI% → AI capex pool</t>
  </si>
  <si>
    <t>NVDA take rate (share of AI capex going to NVDA GPUs)</t>
  </si>
  <si>
    <t>(fixed)</t>
  </si>
  <si>
    <t xml:space="preserve">  → Hyperscaler-driven NVDA DC rev</t>
  </si>
  <si>
    <t xml:space="preserve">  + Non-hyperscaler NVDA DC rev</t>
  </si>
  <si>
    <t xml:space="preserve">  Total NVDA DC revenue (actual)</t>
  </si>
  <si>
    <t>Hyperscaler dependency ratio</t>
  </si>
  <si>
    <t>4) Leading Indicator — YoY Capex vs NVDA DC</t>
  </si>
  <si>
    <t>Hyperscaler AI capex growth (YoY)</t>
  </si>
  <si>
    <t>NVDA DC revenue growth (YoY)</t>
  </si>
  <si>
    <t>Gap (NVDA growth − AI capex growth)</t>
  </si>
  <si>
    <t>NVDA DC growth tracks hyperscaler AI capex growth. Hyperscaler concentration is stable; no clear leading-indicator signal either direction.</t>
  </si>
  <si>
    <t>How to read: Hyperscaler capex → AI capex → NVDA GPU revenue is a 1-2 quarter leading indicator. Hyperscalers guide capex on earnings calls before NVDA ships the silicon. Track the YoY gap each quarter: a negative gap (hyperscalers spending faster than NVDA ships) is the first observable sign of a supply-constrained upswing. A persistently positive gap (NVDA outgrowing hyperscaler capex) means non-hyperscaler demand is carrying the growth.</t>
  </si>
  <si>
    <t>Discounting at 1.9pp HIGHER than the market. Closing this gap (lower beta or longer return horizon) would push DCF toward sell-side targets.</t>
  </si>
  <si>
    <t xml:space="preserve">At current price $188.63, the market is pricing in approximately 41% revenue CAGR AT 60% operating margin. </t>
  </si>
  <si>
    <t xml:space="preserve">For fiscal year 2026, sales to one direct customer represented 22% of total revenue and sales to another direct customer represented 14% of total revenue, all of which were primarily attributable to the Compute &amp; Networking segment. </t>
  </si>
  <si>
    <t xml:space="preserve">Edit yellow cells to override Bear/Base/Bull segment revenue ($M). </t>
  </si>
  <si>
    <t>(values in $Ms)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</si>
</sst>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
    <numFmt numFmtId="165" formatCode="0.0%"/>
    <numFmt numFmtId="166" formatCode="\+0.0%;\-0.0%"/>
    <numFmt numFmtId="167" formatCode="\+0.00%;\-0.00%"/>
    <numFmt numFmtId="168" formatCode="#,##0.0"/>
    <numFmt numFmtId="169" formatCode="0.0&quot;x&quot;"/>
    <numFmt numFmtId="170" formatCode="0.00&quot;x&quot;"/>
  </numFmts>
  <fonts count="40">
    <font>
      <sz val="11"/>
      <color theme="1"/>
      <name val="Calibri"/>
      <family val="2"/>
      <scheme val="minor"/>
    </font>
    <font>
      <b/>
      <sz val="11"/>
      <name val="Calibri"/>
    </font>
    <font>
      <i/>
      <sz val="11"/>
      <color rgb="FF888888"/>
      <name val="Calibri"/>
    </font>
    <font>
      <b/>
      <sz val="11"/>
      <color rgb="FFFFFFFF"/>
      <name val="Calibri"/>
    </font>
    <font>
      <b/>
      <sz val="11"/>
      <name val="Calibri"/>
    </font>
    <font>
      <i/>
      <sz val="9"/>
      <color rgb="FF888888"/>
      <name val="Calibri"/>
    </font>
    <font>
      <i/>
      <sz val="11"/>
      <name val="Calibri"/>
    </font>
    <font>
      <b/>
      <sz val="10"/>
      <name val="Calibri"/>
    </font>
    <font>
      <sz val="9"/>
      <color rgb="FF666666"/>
      <name val="Calibri"/>
    </font>
    <font>
      <b/>
      <sz val="13"/>
      <name val="Calibri"/>
    </font>
    <font>
      <i/>
      <sz val="9"/>
      <color rgb="FF666666"/>
      <name val="Calibri"/>
    </font>
    <font>
      <b/>
      <sz val="9"/>
      <name val="Calibri"/>
    </font>
    <font>
      <i/>
      <sz val="10"/>
      <name val="Calibri"/>
    </font>
    <font>
      <sz val="10"/>
      <name val="Calibri"/>
    </font>
    <font>
      <b/>
      <sz val="11"/>
      <color rgb="FFFFFFFF"/>
      <name val="Calibri"/>
    </font>
    <font>
      <b/>
      <sz val="11"/>
      <color rgb="FF1F4E79"/>
      <name val="Calibri"/>
    </font>
    <font>
      <i/>
      <sz val="11"/>
      <color rgb="FF808080"/>
      <name val="Calibri"/>
    </font>
    <font>
      <i/>
      <sz val="11"/>
      <color rgb="FF666666"/>
      <name val="Calibri"/>
    </font>
    <font>
      <b/>
      <sz val="12"/>
      <name val="Calibri"/>
    </font>
    <font>
      <b/>
      <sz val="11"/>
      <color rgb="FF660000"/>
      <name val="Calibri"/>
    </font>
    <font>
      <sz val="11"/>
      <color rgb="FF9C0006"/>
      <name val="Calibri"/>
    </font>
    <font>
      <sz val="9"/>
      <name val="Consolas"/>
    </font>
    <font>
      <sz val="9"/>
      <color rgb="FF4472C4"/>
      <name val="Consolas"/>
    </font>
    <font>
      <sz val="9"/>
      <color rgb="FF666666"/>
      <name val="Consolas"/>
    </font>
    <font>
      <i/>
      <sz val="10"/>
      <color rgb="FF666666"/>
      <name val="Calibri"/>
    </font>
    <font>
      <b/>
      <sz val="14"/>
      <name val="Calibri"/>
    </font>
    <font>
      <i/>
      <sz val="11"/>
      <color rgb="FF006600"/>
      <name val="Calibri"/>
    </font>
    <font>
      <sz val="11"/>
      <color rgb="FFCC0000"/>
      <name val="Calibri"/>
    </font>
    <font>
      <i/>
      <sz val="9"/>
      <name val="Calibri"/>
    </font>
    <font>
      <i/>
      <sz val="11"/>
      <color rgb="FF333333"/>
      <name val="Calibri"/>
    </font>
    <font>
      <sz val="8"/>
      <color rgb="FF4472C4"/>
      <name val="Calibri"/>
    </font>
    <font>
      <b/>
      <sz val="11"/>
      <color rgb="FFCC0000"/>
      <name val="Calibri"/>
    </font>
    <font>
      <i/>
      <sz val="9"/>
      <color rgb="FF444444"/>
      <name val="Calibri"/>
    </font>
    <font>
      <sz val="9"/>
      <name val="Calibri"/>
    </font>
    <font>
      <b/>
      <sz val="10"/>
      <color rgb="FF404040"/>
      <name val="Calibri"/>
    </font>
    <font>
      <i/>
      <sz val="9"/>
      <color rgb="FF808080"/>
      <name val="Calibri"/>
    </font>
    <font>
      <sz val="11"/>
      <color rgb="FF006100"/>
      <name val="Calibri"/>
    </font>
    <font>
      <sz val="11"/>
      <name val="Calibri"/>
    </font>
    <font>
      <i/>
      <sz val="11"/>
      <color rgb="FF555555"/>
      <name val="Calibri"/>
    </font>
    <font>
      <b/>
      <i/>
      <sz val="9"/>
      <color rgb="FF444444"/>
      <name val="Calibri"/>
    </font>
  </fonts>
  <fills count="15">
    <fill>
      <patternFill patternType="none"/>
    </fill>
    <fill>
      <patternFill patternType="gray125"/>
    </fill>
    <fill>
      <patternFill patternType="solid">
        <fgColor rgb="FF1F4E79"/>
        <bgColor rgb="FF1F4E79"/>
      </patternFill>
    </fill>
    <fill>
      <patternFill patternType="solid">
        <fgColor rgb="FFBF8F00"/>
        <bgColor rgb="FFBF8F00"/>
      </patternFill>
    </fill>
    <fill>
      <patternFill patternType="solid">
        <fgColor rgb="FFFFF2CC"/>
        <bgColor rgb="FFFFF2CC"/>
      </patternFill>
    </fill>
    <fill>
      <patternFill patternType="solid">
        <fgColor rgb="FFD6E4F0"/>
        <bgColor rgb="FFD6E4F0"/>
      </patternFill>
    </fill>
    <fill>
      <patternFill patternType="solid">
        <fgColor rgb="FF548235"/>
        <bgColor rgb="FF548235"/>
      </patternFill>
    </fill>
    <fill>
      <patternFill patternType="solid">
        <fgColor rgb="FFE2EFDA"/>
        <bgColor rgb="FFE2EFDA"/>
      </patternFill>
    </fill>
    <fill>
      <patternFill patternType="solid">
        <fgColor rgb="FFF8CECC"/>
        <bgColor rgb="FFF8CECC"/>
      </patternFill>
    </fill>
    <fill>
      <patternFill patternType="solid">
        <fgColor rgb="FFDAE8FC"/>
        <bgColor rgb="FFDAE8FC"/>
      </patternFill>
    </fill>
    <fill>
      <patternFill patternType="solid">
        <fgColor rgb="FFD5E8D4"/>
        <bgColor rgb="FFD5E8D4"/>
      </patternFill>
    </fill>
    <fill>
      <patternFill patternType="solid">
        <fgColor rgb="FFDAEEF3"/>
        <bgColor rgb="FFDAEEF3"/>
      </patternFill>
    </fill>
    <fill>
      <patternFill patternType="solid">
        <fgColor rgb="FFDAE8FC"/>
      </patternFill>
    </fill>
    <fill>
      <patternFill patternType="solid">
        <fgColor rgb="FFEEEEEE"/>
      </patternFill>
    </fill>
    <fill>
      <patternFill patternType="solid">
        <fgColor rgb="FFFFF2CC"/>
      </patternFill>
    </fill>
  </fills>
  <borders count="3">
    <border>
      <left/>
      <right/>
      <top/>
      <bottom/>
      <diagonal/>
    </border>
    <border>
      <left/>
      <right/>
      <top/>
      <bottom style="thin">
        <color rgb="FFD9D9D9"/>
      </bottom>
      <diagonal/>
    </border>
    <border>
      <left/>
      <right/>
      <top/>
      <bottom style="thin">
        <color rgb="FFCCCCCC"/>
      </bottom>
      <diagonal/>
    </border>
  </borders>
  <cellStyleXfs count="1">
    <xf numFmtId="0" fontId="0" fillId="0" borderId="0"/>
  </cellStyleXfs>
  <cellXfs count="127">
    <xf numFmtId="0" fontId="0" fillId="0" borderId="0" xfId="0"/>
    <xf numFmtId="0" fontId="1" fillId="0" borderId="0" xfId="0" applyFont="1"/>
    <xf numFmtId="0" fontId="34" fillId="0" borderId="0" xfId="0" applyFont="1" applyAlignment="1">
      <alignment horizontal="left"/>
    </xf>
    <xf numFmtId="0" fontId="2" fillId="0" borderId="0" xfId="0" applyFont="1"/>
    <xf numFmtId="0" fontId="35" fillId="0" borderId="0" xfId="0" applyFont="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4" fillId="0" borderId="0" xfId="0" applyFont="1"/>
    <xf numFmtId="3" fontId="0" fillId="0" borderId="1" xfId="0" applyNumberFormat="1" applyBorder="1" applyAlignment="1">
      <alignment horizontal="right"/>
    </xf>
    <xf numFmtId="3" fontId="0" fillId="4" borderId="1" xfId="0" applyNumberFormat="1" applyFill="1" applyBorder="1" applyAlignment="1">
      <alignment horizontal="right"/>
    </xf>
    <xf numFmtId="164" fontId="0" fillId="0" borderId="1" xfId="0" applyNumberFormat="1" applyBorder="1" applyAlignment="1">
      <alignment horizontal="right"/>
    </xf>
    <xf numFmtId="164" fontId="0" fillId="4" borderId="1" xfId="0" applyNumberFormat="1" applyFill="1" applyBorder="1" applyAlignment="1">
      <alignment horizontal="right"/>
    </xf>
    <xf numFmtId="165" fontId="0" fillId="0" borderId="1" xfId="0" applyNumberFormat="1" applyBorder="1" applyAlignment="1">
      <alignment horizontal="right"/>
    </xf>
    <xf numFmtId="165" fontId="0" fillId="4" borderId="1" xfId="0" applyNumberFormat="1" applyFill="1" applyBorder="1" applyAlignment="1">
      <alignment horizontal="right"/>
    </xf>
    <xf numFmtId="0" fontId="15" fillId="0" borderId="0" xfId="0" applyFont="1"/>
    <xf numFmtId="3" fontId="0" fillId="0" borderId="0" xfId="0" applyNumberFormat="1" applyAlignment="1">
      <alignment horizontal="right"/>
    </xf>
    <xf numFmtId="3" fontId="0" fillId="4" borderId="0" xfId="0" applyNumberFormat="1" applyFill="1" applyAlignment="1">
      <alignment horizontal="right"/>
    </xf>
    <xf numFmtId="164" fontId="0" fillId="0" borderId="0" xfId="0" applyNumberFormat="1" applyAlignment="1">
      <alignment horizontal="right"/>
    </xf>
    <xf numFmtId="164" fontId="0" fillId="4" borderId="0" xfId="0" applyNumberFormat="1" applyFill="1" applyAlignment="1">
      <alignment horizontal="right"/>
    </xf>
    <xf numFmtId="165" fontId="0" fillId="0" borderId="0" xfId="0" applyNumberFormat="1" applyAlignment="1">
      <alignment horizontal="right"/>
    </xf>
    <xf numFmtId="165" fontId="0" fillId="4" borderId="0" xfId="0" applyNumberFormat="1" applyFill="1" applyAlignment="1">
      <alignment horizontal="right"/>
    </xf>
    <xf numFmtId="0" fontId="5" fillId="0" borderId="0" xfId="0" applyFont="1"/>
    <xf numFmtId="0" fontId="3" fillId="6" borderId="0" xfId="0" applyFont="1" applyFill="1" applyAlignment="1">
      <alignment horizontal="center"/>
    </xf>
    <xf numFmtId="0" fontId="6" fillId="0" borderId="0" xfId="0" applyFont="1"/>
    <xf numFmtId="3" fontId="4" fillId="7" borderId="1" xfId="0" applyNumberFormat="1" applyFont="1" applyFill="1" applyBorder="1" applyAlignment="1">
      <alignment horizontal="right"/>
    </xf>
    <xf numFmtId="3" fontId="4" fillId="5" borderId="1" xfId="0" applyNumberFormat="1" applyFont="1" applyFill="1" applyBorder="1" applyAlignment="1">
      <alignment horizontal="right"/>
    </xf>
    <xf numFmtId="0" fontId="3" fillId="2" borderId="0" xfId="0" applyFont="1" applyFill="1"/>
    <xf numFmtId="3" fontId="3" fillId="2" borderId="1" xfId="0" applyNumberFormat="1" applyFont="1" applyFill="1" applyBorder="1" applyAlignment="1">
      <alignment horizontal="right"/>
    </xf>
    <xf numFmtId="3" fontId="3" fillId="6" borderId="1" xfId="0" applyNumberFormat="1" applyFont="1" applyFill="1" applyBorder="1" applyAlignment="1">
      <alignment horizontal="right"/>
    </xf>
    <xf numFmtId="0" fontId="7" fillId="0" borderId="0" xfId="0" applyFont="1"/>
    <xf numFmtId="0" fontId="8" fillId="0" borderId="0" xfId="0" applyFont="1"/>
    <xf numFmtId="0" fontId="9" fillId="0" borderId="0" xfId="0" applyFont="1"/>
    <xf numFmtId="0" fontId="10" fillId="0" borderId="0" xfId="0" applyFont="1"/>
    <xf numFmtId="0" fontId="0" fillId="2" borderId="0" xfId="0" applyFill="1"/>
    <xf numFmtId="0" fontId="11" fillId="8" borderId="0" xfId="0" applyFont="1" applyFill="1" applyAlignment="1">
      <alignment horizontal="center"/>
    </xf>
    <xf numFmtId="0" fontId="11" fillId="9" borderId="0" xfId="0" applyFont="1" applyFill="1" applyAlignment="1">
      <alignment horizontal="center"/>
    </xf>
    <xf numFmtId="0" fontId="11" fillId="10" borderId="0" xfId="0" applyFont="1" applyFill="1" applyAlignment="1">
      <alignment horizontal="center"/>
    </xf>
    <xf numFmtId="0" fontId="12" fillId="0" borderId="0" xfId="0" applyFont="1"/>
    <xf numFmtId="3" fontId="0" fillId="4" borderId="0" xfId="0" applyNumberFormat="1" applyFill="1"/>
    <xf numFmtId="3" fontId="4" fillId="5" borderId="0" xfId="0" applyNumberFormat="1" applyFont="1" applyFill="1"/>
    <xf numFmtId="0" fontId="13" fillId="0" borderId="0" xfId="0" applyFont="1"/>
    <xf numFmtId="0" fontId="14" fillId="2" borderId="0" xfId="0" applyFont="1" applyFill="1"/>
    <xf numFmtId="3" fontId="14" fillId="2" borderId="0" xfId="0" applyNumberFormat="1" applyFont="1" applyFill="1"/>
    <xf numFmtId="0" fontId="1" fillId="9" borderId="0" xfId="0" applyFont="1" applyFill="1"/>
    <xf numFmtId="0" fontId="0" fillId="9" borderId="0" xfId="0" applyFill="1"/>
    <xf numFmtId="165" fontId="0" fillId="4" borderId="0" xfId="0" applyNumberFormat="1" applyFill="1"/>
    <xf numFmtId="0" fontId="16" fillId="0" borderId="0" xfId="0" applyFont="1"/>
    <xf numFmtId="165" fontId="0" fillId="0" borderId="0" xfId="0" applyNumberFormat="1"/>
    <xf numFmtId="2" fontId="0" fillId="0" borderId="0" xfId="0" applyNumberFormat="1"/>
    <xf numFmtId="3" fontId="0" fillId="0" borderId="0" xfId="0" applyNumberFormat="1"/>
    <xf numFmtId="165" fontId="17" fillId="0" borderId="0" xfId="0" applyNumberFormat="1" applyFont="1"/>
    <xf numFmtId="164" fontId="18" fillId="10" borderId="0" xfId="0" applyNumberFormat="1" applyFont="1" applyFill="1"/>
    <xf numFmtId="164" fontId="0" fillId="0" borderId="0" xfId="0" applyNumberFormat="1"/>
    <xf numFmtId="165" fontId="4" fillId="10" borderId="0" xfId="0" applyNumberFormat="1" applyFont="1" applyFill="1"/>
    <xf numFmtId="0" fontId="18" fillId="0" borderId="0" xfId="0" applyFont="1"/>
    <xf numFmtId="0" fontId="1" fillId="8" borderId="0" xfId="0" applyFont="1" applyFill="1"/>
    <xf numFmtId="0" fontId="1" fillId="11" borderId="0" xfId="0" applyFont="1" applyFill="1"/>
    <xf numFmtId="0" fontId="1" fillId="10" borderId="0" xfId="0" applyFont="1" applyFill="1"/>
    <xf numFmtId="164" fontId="18" fillId="8" borderId="0" xfId="0" applyNumberFormat="1" applyFont="1" applyFill="1"/>
    <xf numFmtId="164" fontId="18" fillId="11" borderId="0" xfId="0" applyNumberFormat="1" applyFont="1" applyFill="1"/>
    <xf numFmtId="164" fontId="18" fillId="4" borderId="0" xfId="0" applyNumberFormat="1" applyFont="1" applyFill="1"/>
    <xf numFmtId="165" fontId="7" fillId="11" borderId="0" xfId="0" applyNumberFormat="1" applyFont="1" applyFill="1"/>
    <xf numFmtId="164" fontId="4" fillId="10" borderId="0" xfId="0" applyNumberFormat="1" applyFont="1" applyFill="1"/>
    <xf numFmtId="0" fontId="24" fillId="0" borderId="0" xfId="0" applyFont="1"/>
    <xf numFmtId="165" fontId="25" fillId="10" borderId="0" xfId="0" applyNumberFormat="1" applyFont="1" applyFill="1"/>
    <xf numFmtId="165" fontId="0" fillId="11" borderId="0" xfId="0" applyNumberFormat="1" applyFill="1"/>
    <xf numFmtId="0" fontId="26" fillId="0" borderId="0" xfId="0" applyFont="1"/>
    <xf numFmtId="0" fontId="27" fillId="0" borderId="0" xfId="0" applyFont="1"/>
    <xf numFmtId="0" fontId="28" fillId="0" borderId="0" xfId="0" applyFont="1"/>
    <xf numFmtId="165" fontId="1" fillId="0" borderId="0" xfId="0" applyNumberFormat="1" applyFont="1"/>
    <xf numFmtId="165" fontId="0" fillId="8" borderId="0" xfId="0" applyNumberFormat="1" applyFill="1"/>
    <xf numFmtId="164" fontId="1" fillId="0" borderId="0" xfId="0" applyNumberFormat="1" applyFont="1"/>
    <xf numFmtId="0" fontId="7" fillId="0" borderId="2" xfId="0" applyFont="1" applyBorder="1"/>
    <xf numFmtId="164" fontId="1" fillId="10" borderId="0" xfId="0" applyNumberFormat="1" applyFont="1" applyFill="1"/>
    <xf numFmtId="165" fontId="18" fillId="8" borderId="0" xfId="0" applyNumberFormat="1" applyFont="1" applyFill="1"/>
    <xf numFmtId="164" fontId="4" fillId="8" borderId="0" xfId="0" applyNumberFormat="1" applyFont="1" applyFill="1"/>
    <xf numFmtId="164" fontId="4" fillId="9" borderId="0" xfId="0" applyNumberFormat="1" applyFont="1" applyFill="1"/>
    <xf numFmtId="0" fontId="21" fillId="0" borderId="0" xfId="0" applyFont="1"/>
    <xf numFmtId="0" fontId="22" fillId="0" borderId="0" xfId="0" applyFont="1"/>
    <xf numFmtId="0" fontId="23" fillId="0" borderId="0" xfId="0" applyFont="1"/>
    <xf numFmtId="165" fontId="4" fillId="11" borderId="0" xfId="0" applyNumberFormat="1" applyFont="1" applyFill="1"/>
    <xf numFmtId="170" fontId="0" fillId="0" borderId="0" xfId="0" applyNumberFormat="1"/>
    <xf numFmtId="0" fontId="30" fillId="0" borderId="0" xfId="0" applyFont="1"/>
    <xf numFmtId="0" fontId="31" fillId="0" borderId="0" xfId="0" applyFont="1"/>
    <xf numFmtId="164" fontId="0" fillId="10" borderId="0" xfId="0" applyNumberFormat="1" applyFill="1"/>
    <xf numFmtId="164" fontId="4" fillId="0" borderId="0" xfId="0" applyNumberFormat="1" applyFont="1"/>
    <xf numFmtId="165" fontId="0" fillId="10" borderId="0" xfId="0" applyNumberFormat="1" applyFill="1"/>
    <xf numFmtId="0" fontId="4" fillId="10" borderId="0" xfId="0" applyFont="1" applyFill="1"/>
    <xf numFmtId="166" fontId="4" fillId="8" borderId="0" xfId="0" applyNumberFormat="1" applyFont="1" applyFill="1"/>
    <xf numFmtId="166" fontId="4" fillId="11" borderId="0" xfId="0" applyNumberFormat="1" applyFont="1" applyFill="1"/>
    <xf numFmtId="166" fontId="4" fillId="10" borderId="0" xfId="0" applyNumberFormat="1" applyFont="1" applyFill="1"/>
    <xf numFmtId="166" fontId="4" fillId="4" borderId="0" xfId="0" applyNumberFormat="1" applyFont="1" applyFill="1"/>
    <xf numFmtId="166" fontId="20" fillId="0" borderId="0" xfId="0" applyNumberFormat="1" applyFont="1"/>
    <xf numFmtId="168" fontId="0" fillId="0" borderId="0" xfId="0" applyNumberFormat="1"/>
    <xf numFmtId="169" fontId="0" fillId="0" borderId="0" xfId="0" applyNumberFormat="1"/>
    <xf numFmtId="169" fontId="4" fillId="11" borderId="0" xfId="0" applyNumberFormat="1" applyFont="1" applyFill="1"/>
    <xf numFmtId="169" fontId="0" fillId="4" borderId="0" xfId="0" applyNumberFormat="1" applyFill="1"/>
    <xf numFmtId="166" fontId="36" fillId="0" borderId="0" xfId="0" applyNumberFormat="1" applyFont="1"/>
    <xf numFmtId="167" fontId="0" fillId="8" borderId="0" xfId="0" applyNumberFormat="1" applyFill="1"/>
    <xf numFmtId="0" fontId="17" fillId="0" borderId="0" xfId="0" applyFont="1"/>
    <xf numFmtId="0" fontId="1" fillId="12" borderId="0" xfId="0" applyFont="1" applyFill="1"/>
    <xf numFmtId="0" fontId="0" fillId="12" borderId="0" xfId="0" applyFill="1"/>
    <xf numFmtId="0" fontId="4" fillId="13" borderId="0" xfId="0" applyFont="1" applyFill="1"/>
    <xf numFmtId="165" fontId="0" fillId="14" borderId="0" xfId="0" applyNumberFormat="1" applyFill="1"/>
    <xf numFmtId="3" fontId="4" fillId="0" borderId="0" xfId="0" applyNumberFormat="1" applyFont="1"/>
    <xf numFmtId="166" fontId="0" fillId="0" borderId="0" xfId="0" applyNumberFormat="1"/>
    <xf numFmtId="3" fontId="4" fillId="13" borderId="0" xfId="0" applyNumberFormat="1" applyFont="1" applyFill="1"/>
    <xf numFmtId="166" fontId="4" fillId="13" borderId="0" xfId="0" applyNumberFormat="1" applyFont="1" applyFill="1"/>
    <xf numFmtId="165" fontId="4" fillId="13" borderId="0" xfId="0" applyNumberFormat="1" applyFont="1" applyFill="1"/>
    <xf numFmtId="0" fontId="37" fillId="0" borderId="0" xfId="0" applyFont="1"/>
    <xf numFmtId="165" fontId="4" fillId="14" borderId="0" xfId="0" applyNumberFormat="1" applyFont="1" applyFill="1"/>
    <xf numFmtId="166" fontId="4" fillId="0" borderId="0" xfId="0" applyNumberFormat="1" applyFont="1"/>
    <xf numFmtId="165" fontId="4" fillId="0" borderId="0" xfId="0" applyNumberFormat="1" applyFont="1"/>
    <xf numFmtId="166" fontId="4" fillId="14" borderId="0" xfId="0" applyNumberFormat="1" applyFont="1" applyFill="1"/>
    <xf numFmtId="0" fontId="39" fillId="0" borderId="0" xfId="0" applyFont="1"/>
    <xf numFmtId="0" fontId="19" fillId="0" borderId="0" xfId="0" applyFont="1"/>
    <xf numFmtId="0" fontId="0" fillId="0" borderId="0" xfId="0"/>
    <xf numFmtId="0" fontId="10" fillId="0" borderId="0" xfId="0" applyFont="1"/>
    <xf numFmtId="0" fontId="29" fillId="0" borderId="0" xfId="0" applyFont="1"/>
    <xf numFmtId="0" fontId="32" fillId="0" borderId="0" xfId="0" applyFont="1" applyAlignment="1">
      <alignment vertical="top" wrapText="1"/>
    </xf>
    <xf numFmtId="0" fontId="33" fillId="8" borderId="0" xfId="0" applyFont="1" applyFill="1" applyAlignment="1">
      <alignment vertical="top" wrapText="1"/>
    </xf>
    <xf numFmtId="0" fontId="38" fillId="0" borderId="0" xfId="0" applyFont="1" applyAlignment="1">
      <alignment vertical="top" wrapText="1"/>
    </xf>
    <xf numFmtId="0" fontId="17" fillId="0" borderId="0" xfId="0" applyFont="1" applyAlignment="1">
      <alignment vertical="top" wrapText="1"/>
    </xf>
    <xf numFmtId="0" fontId="0" fillId="0" borderId="0" xfId="0" applyAlignment="1"/>
    <xf numFmtId="0" fontId="29" fillId="0" borderId="0" xfId="0" applyFont="1" applyAlignment="1"/>
    <xf numFmtId="0" fontId="0" fillId="0" borderId="0" xfId="0" applyAlignment="1"/>
    <xf numFmtId="0" fontId="10" fillId="0" borderId="0" xfId="0" applyFont="1"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6"/>
  <sheetViews>
    <sheetView workbookViewId="0">
      <pane xSplit="1" topLeftCell="B1" activePane="topRight" state="frozen"/>
      <selection pane="topRight" activeCell="E30" sqref="E30"/>
    </sheetView>
  </sheetViews>
  <sheetFormatPr defaultRowHeight="15"/>
  <cols>
    <col min="1" max="1" width="22" customWidth="1"/>
    <col min="2" max="17" width="14" customWidth="1"/>
    <col min="20" max="20" width="30" customWidth="1"/>
  </cols>
  <sheetData>
    <row r="1" spans="1:20">
      <c r="A1" s="1" t="s">
        <v>0</v>
      </c>
      <c r="T1" s="2" t="s">
        <v>1</v>
      </c>
    </row>
    <row r="2" spans="1:20">
      <c r="A2" s="3" t="s">
        <v>422</v>
      </c>
      <c r="T2" s="4" t="s">
        <v>2</v>
      </c>
    </row>
    <row r="3" spans="1:20">
      <c r="B3" s="5" t="s">
        <v>3</v>
      </c>
      <c r="C3" s="5" t="s">
        <v>4</v>
      </c>
      <c r="D3" s="5" t="s">
        <v>5</v>
      </c>
      <c r="E3" s="5" t="s">
        <v>6</v>
      </c>
      <c r="F3" s="5" t="s">
        <v>7</v>
      </c>
      <c r="G3" s="5" t="s">
        <v>8</v>
      </c>
      <c r="H3" s="5" t="s">
        <v>9</v>
      </c>
      <c r="I3" s="5" t="s">
        <v>10</v>
      </c>
      <c r="J3" s="6" t="s">
        <v>11</v>
      </c>
      <c r="K3" s="6" t="s">
        <v>12</v>
      </c>
      <c r="L3" s="6" t="s">
        <v>13</v>
      </c>
      <c r="M3" s="6" t="s">
        <v>14</v>
      </c>
      <c r="N3" s="6" t="s">
        <v>15</v>
      </c>
      <c r="O3" s="6" t="s">
        <v>16</v>
      </c>
      <c r="P3" s="6" t="s">
        <v>17</v>
      </c>
      <c r="Q3" s="6" t="s">
        <v>18</v>
      </c>
      <c r="T3" s="4" t="s">
        <v>19</v>
      </c>
    </row>
    <row r="4" spans="1:20">
      <c r="A4" s="7" t="s">
        <v>20</v>
      </c>
      <c r="B4" s="8">
        <v>26044</v>
      </c>
      <c r="C4" s="8">
        <v>30040</v>
      </c>
      <c r="D4" s="8">
        <v>35082</v>
      </c>
      <c r="E4" s="8">
        <v>39331</v>
      </c>
      <c r="F4" s="8">
        <v>44062</v>
      </c>
      <c r="G4" s="8">
        <v>46743</v>
      </c>
      <c r="H4" s="8">
        <v>57006</v>
      </c>
      <c r="I4" s="8">
        <v>68127</v>
      </c>
      <c r="J4" s="9">
        <f>IF(Drivers!J12&lt;&gt;0,Drivers!J12,F4*(1+0.4))</f>
        <v>78000</v>
      </c>
      <c r="K4" s="9">
        <f>IF(Drivers!K12&lt;&gt;0,Drivers!K12,G4*(1+0.397))</f>
        <v>88000</v>
      </c>
      <c r="L4" s="9">
        <f>IF(Drivers!L12&lt;&gt;0,Drivers!L12,H4*(1+0.3884))</f>
        <v>98000</v>
      </c>
      <c r="M4" s="9">
        <f>IF(Drivers!M12&lt;&gt;0,Drivers!M12,I4*(1+0.3749))</f>
        <v>109000</v>
      </c>
      <c r="N4" s="9">
        <f>IF(Drivers!N12&lt;&gt;0,Drivers!N12,J4*(1+0.3571))</f>
        <v>111376.80000000003</v>
      </c>
      <c r="O4" s="9">
        <f>IF(Drivers!O12&lt;&gt;0,Drivers!O12,K4*(1+0.3358))</f>
        <v>125656.5</v>
      </c>
      <c r="P4" s="9">
        <f>IF(Drivers!P12&lt;&gt;0,Drivers!P12,L4*(1+0.3114))</f>
        <v>139935.20000000001</v>
      </c>
      <c r="Q4" s="9">
        <f>IF(Drivers!Q12&lt;&gt;0,Drivers!Q12,M4*(1+0.2848))</f>
        <v>155642.00000000003</v>
      </c>
      <c r="T4" s="4" t="s">
        <v>21</v>
      </c>
    </row>
    <row r="5" spans="1:20">
      <c r="A5" s="7" t="s">
        <v>22</v>
      </c>
      <c r="B5" s="8">
        <v>5638</v>
      </c>
      <c r="C5" s="8">
        <v>7466</v>
      </c>
      <c r="D5" s="8">
        <v>8926</v>
      </c>
      <c r="E5" s="8">
        <v>10608</v>
      </c>
      <c r="F5" s="8">
        <v>17394</v>
      </c>
      <c r="G5" s="8">
        <v>12890</v>
      </c>
      <c r="H5" s="8">
        <v>15157</v>
      </c>
      <c r="I5" s="8">
        <v>17034</v>
      </c>
      <c r="J5" s="9">
        <f t="shared" ref="J5:Q5" si="0">J4*0.3025</f>
        <v>23595</v>
      </c>
      <c r="K5" s="9">
        <f t="shared" si="0"/>
        <v>26620</v>
      </c>
      <c r="L5" s="9">
        <f t="shared" si="0"/>
        <v>29645</v>
      </c>
      <c r="M5" s="9">
        <f t="shared" si="0"/>
        <v>32972.5</v>
      </c>
      <c r="N5" s="9">
        <f t="shared" si="0"/>
        <v>33691.482000000011</v>
      </c>
      <c r="O5" s="9">
        <f t="shared" si="0"/>
        <v>38011.091249999998</v>
      </c>
      <c r="P5" s="9">
        <f t="shared" si="0"/>
        <v>42330.398000000001</v>
      </c>
      <c r="Q5" s="9">
        <f t="shared" si="0"/>
        <v>47081.705000000009</v>
      </c>
    </row>
    <row r="6" spans="1:20">
      <c r="A6" s="7" t="s">
        <v>23</v>
      </c>
      <c r="B6" s="8">
        <f t="shared" ref="B6:Q6" si="1">B4-B5</f>
        <v>20406</v>
      </c>
      <c r="C6" s="8">
        <f t="shared" si="1"/>
        <v>22574</v>
      </c>
      <c r="D6" s="8">
        <f t="shared" si="1"/>
        <v>26156</v>
      </c>
      <c r="E6" s="8">
        <f t="shared" si="1"/>
        <v>28723</v>
      </c>
      <c r="F6" s="8">
        <f t="shared" si="1"/>
        <v>26668</v>
      </c>
      <c r="G6" s="8">
        <f t="shared" si="1"/>
        <v>33853</v>
      </c>
      <c r="H6" s="8">
        <f t="shared" si="1"/>
        <v>41849</v>
      </c>
      <c r="I6" s="8">
        <f t="shared" si="1"/>
        <v>51093</v>
      </c>
      <c r="J6" s="9">
        <f t="shared" si="1"/>
        <v>54405</v>
      </c>
      <c r="K6" s="9">
        <f t="shared" si="1"/>
        <v>61380</v>
      </c>
      <c r="L6" s="9">
        <f t="shared" si="1"/>
        <v>68355</v>
      </c>
      <c r="M6" s="9">
        <f t="shared" si="1"/>
        <v>76027.5</v>
      </c>
      <c r="N6" s="9">
        <f t="shared" si="1"/>
        <v>77685.318000000028</v>
      </c>
      <c r="O6" s="9">
        <f t="shared" si="1"/>
        <v>87645.408750000002</v>
      </c>
      <c r="P6" s="9">
        <f t="shared" si="1"/>
        <v>97604.802000000011</v>
      </c>
      <c r="Q6" s="9">
        <f t="shared" si="1"/>
        <v>108560.29500000001</v>
      </c>
    </row>
    <row r="7" spans="1:20">
      <c r="A7" s="7" t="s">
        <v>24</v>
      </c>
    </row>
    <row r="8" spans="1:20">
      <c r="A8" s="7" t="s">
        <v>25</v>
      </c>
      <c r="B8" s="8">
        <v>2720</v>
      </c>
      <c r="C8" s="8">
        <v>3090</v>
      </c>
      <c r="D8" s="8">
        <v>3390</v>
      </c>
      <c r="E8" s="8">
        <v>3714</v>
      </c>
      <c r="F8" s="8">
        <v>3989</v>
      </c>
      <c r="G8" s="8">
        <v>4291</v>
      </c>
      <c r="H8" s="8">
        <v>4705</v>
      </c>
      <c r="I8" s="8">
        <v>5512</v>
      </c>
      <c r="J8" s="9">
        <f t="shared" ref="J8:Q8" si="2">J4*0.0882</f>
        <v>6879.6</v>
      </c>
      <c r="K8" s="9">
        <f t="shared" si="2"/>
        <v>7761.6</v>
      </c>
      <c r="L8" s="9">
        <f t="shared" si="2"/>
        <v>8643.6</v>
      </c>
      <c r="M8" s="9">
        <f t="shared" si="2"/>
        <v>9613.7999999999993</v>
      </c>
      <c r="N8" s="9">
        <f t="shared" si="2"/>
        <v>9823.4337600000035</v>
      </c>
      <c r="O8" s="9">
        <f t="shared" si="2"/>
        <v>11082.9033</v>
      </c>
      <c r="P8" s="9">
        <f t="shared" si="2"/>
        <v>12342.284640000002</v>
      </c>
      <c r="Q8" s="9">
        <f t="shared" si="2"/>
        <v>13727.624400000002</v>
      </c>
    </row>
    <row r="9" spans="1:20">
      <c r="A9" s="7" t="s">
        <v>26</v>
      </c>
      <c r="B9" s="8">
        <v>777</v>
      </c>
      <c r="C9" s="8">
        <v>842</v>
      </c>
      <c r="D9" s="8">
        <v>897</v>
      </c>
      <c r="E9" s="8">
        <v>975</v>
      </c>
      <c r="F9" s="8">
        <v>1041</v>
      </c>
      <c r="G9" s="8">
        <v>1122</v>
      </c>
      <c r="H9" s="8">
        <v>1134</v>
      </c>
      <c r="I9" s="8">
        <v>1282</v>
      </c>
      <c r="J9" s="9">
        <f t="shared" ref="J9:Q9" si="3">J4*0.022</f>
        <v>1716</v>
      </c>
      <c r="K9" s="9">
        <f t="shared" si="3"/>
        <v>1936</v>
      </c>
      <c r="L9" s="9">
        <f t="shared" si="3"/>
        <v>2156</v>
      </c>
      <c r="M9" s="9">
        <f t="shared" si="3"/>
        <v>2398</v>
      </c>
      <c r="N9" s="9">
        <f t="shared" si="3"/>
        <v>2450.2896000000005</v>
      </c>
      <c r="O9" s="9">
        <f t="shared" si="3"/>
        <v>2764.4429999999998</v>
      </c>
      <c r="P9" s="9">
        <f t="shared" si="3"/>
        <v>3078.5744</v>
      </c>
      <c r="Q9" s="9">
        <f t="shared" si="3"/>
        <v>3424.1240000000003</v>
      </c>
    </row>
    <row r="10" spans="1:20">
      <c r="A10" s="7" t="s">
        <v>27</v>
      </c>
      <c r="B10" s="8">
        <f t="shared" ref="B10:Q10" si="4">B7+B8+B9</f>
        <v>3497</v>
      </c>
      <c r="C10" s="8">
        <f t="shared" si="4"/>
        <v>3932</v>
      </c>
      <c r="D10" s="8">
        <f t="shared" si="4"/>
        <v>4287</v>
      </c>
      <c r="E10" s="8">
        <f t="shared" si="4"/>
        <v>4689</v>
      </c>
      <c r="F10" s="8">
        <f t="shared" si="4"/>
        <v>5030</v>
      </c>
      <c r="G10" s="8">
        <f t="shared" si="4"/>
        <v>5413</v>
      </c>
      <c r="H10" s="8">
        <f t="shared" si="4"/>
        <v>5839</v>
      </c>
      <c r="I10" s="8">
        <f t="shared" si="4"/>
        <v>6794</v>
      </c>
      <c r="J10" s="9">
        <f t="shared" si="4"/>
        <v>8595.6</v>
      </c>
      <c r="K10" s="9">
        <f t="shared" si="4"/>
        <v>9697.6</v>
      </c>
      <c r="L10" s="9">
        <f t="shared" si="4"/>
        <v>10799.6</v>
      </c>
      <c r="M10" s="9">
        <f t="shared" si="4"/>
        <v>12011.8</v>
      </c>
      <c r="N10" s="9">
        <f t="shared" si="4"/>
        <v>12273.723360000004</v>
      </c>
      <c r="O10" s="9">
        <f t="shared" si="4"/>
        <v>13847.346299999999</v>
      </c>
      <c r="P10" s="9">
        <f t="shared" si="4"/>
        <v>15420.859040000001</v>
      </c>
      <c r="Q10" s="9">
        <f t="shared" si="4"/>
        <v>17151.748400000004</v>
      </c>
    </row>
    <row r="11" spans="1:20">
      <c r="A11" s="7" t="s">
        <v>28</v>
      </c>
      <c r="B11" s="8">
        <f t="shared" ref="B11:Q11" si="5">B6-B10</f>
        <v>16909</v>
      </c>
      <c r="C11" s="8">
        <f t="shared" si="5"/>
        <v>18642</v>
      </c>
      <c r="D11" s="8">
        <f t="shared" si="5"/>
        <v>21869</v>
      </c>
      <c r="E11" s="8">
        <f t="shared" si="5"/>
        <v>24034</v>
      </c>
      <c r="F11" s="8">
        <f t="shared" si="5"/>
        <v>21638</v>
      </c>
      <c r="G11" s="8">
        <f t="shared" si="5"/>
        <v>28440</v>
      </c>
      <c r="H11" s="8">
        <f t="shared" si="5"/>
        <v>36010</v>
      </c>
      <c r="I11" s="8">
        <f t="shared" si="5"/>
        <v>44299</v>
      </c>
      <c r="J11" s="9">
        <f t="shared" si="5"/>
        <v>45809.4</v>
      </c>
      <c r="K11" s="9">
        <f t="shared" si="5"/>
        <v>51682.400000000001</v>
      </c>
      <c r="L11" s="9">
        <f t="shared" si="5"/>
        <v>57555.4</v>
      </c>
      <c r="M11" s="9">
        <f t="shared" si="5"/>
        <v>64015.7</v>
      </c>
      <c r="N11" s="9">
        <f t="shared" si="5"/>
        <v>65411.594640000025</v>
      </c>
      <c r="O11" s="9">
        <f t="shared" si="5"/>
        <v>73798.062449999998</v>
      </c>
      <c r="P11" s="9">
        <f t="shared" si="5"/>
        <v>82183.942960000015</v>
      </c>
      <c r="Q11" s="9">
        <f t="shared" si="5"/>
        <v>91408.546600000001</v>
      </c>
    </row>
    <row r="12" spans="1:20">
      <c r="A12" s="7" t="s">
        <v>29</v>
      </c>
      <c r="B12" s="8">
        <v>370</v>
      </c>
      <c r="C12" s="8">
        <v>572</v>
      </c>
      <c r="D12" s="8">
        <v>447</v>
      </c>
      <c r="E12" s="8">
        <v>1183</v>
      </c>
      <c r="F12" s="8">
        <v>272</v>
      </c>
      <c r="G12" s="8">
        <v>2766</v>
      </c>
      <c r="H12" s="8">
        <v>1926</v>
      </c>
      <c r="I12" s="8">
        <v>6099</v>
      </c>
      <c r="J12" s="9">
        <f t="shared" ref="J12:Q12" si="6">J4*0.0472</f>
        <v>3681.6</v>
      </c>
      <c r="K12" s="9">
        <f t="shared" si="6"/>
        <v>4153.5999999999995</v>
      </c>
      <c r="L12" s="9">
        <f t="shared" si="6"/>
        <v>4625.5999999999995</v>
      </c>
      <c r="M12" s="9">
        <f t="shared" si="6"/>
        <v>5144.8</v>
      </c>
      <c r="N12" s="9">
        <f t="shared" si="6"/>
        <v>5256.9849600000016</v>
      </c>
      <c r="O12" s="9">
        <f t="shared" si="6"/>
        <v>5930.9867999999997</v>
      </c>
      <c r="P12" s="9">
        <f t="shared" si="6"/>
        <v>6604.9414400000005</v>
      </c>
      <c r="Q12" s="9">
        <f t="shared" si="6"/>
        <v>7346.3024000000014</v>
      </c>
    </row>
    <row r="13" spans="1:20">
      <c r="A13" s="7" t="s">
        <v>30</v>
      </c>
      <c r="B13" s="8">
        <v>17279</v>
      </c>
      <c r="C13" s="8">
        <v>19214</v>
      </c>
      <c r="D13" s="8">
        <v>22316</v>
      </c>
      <c r="E13" s="8">
        <v>25217</v>
      </c>
      <c r="F13" s="8">
        <v>21910</v>
      </c>
      <c r="G13" s="8">
        <v>31206</v>
      </c>
      <c r="H13" s="8">
        <v>37936</v>
      </c>
      <c r="I13" s="8">
        <v>50398</v>
      </c>
      <c r="J13" s="9">
        <f t="shared" ref="J13:Q13" si="7">J11+J12</f>
        <v>49491</v>
      </c>
      <c r="K13" s="9">
        <f t="shared" si="7"/>
        <v>55836</v>
      </c>
      <c r="L13" s="9">
        <f t="shared" si="7"/>
        <v>62181</v>
      </c>
      <c r="M13" s="9">
        <f t="shared" si="7"/>
        <v>69160.5</v>
      </c>
      <c r="N13" s="9">
        <f t="shared" si="7"/>
        <v>70668.579600000026</v>
      </c>
      <c r="O13" s="9">
        <f t="shared" si="7"/>
        <v>79729.049249999996</v>
      </c>
      <c r="P13" s="9">
        <f t="shared" si="7"/>
        <v>88788.88440000001</v>
      </c>
      <c r="Q13" s="9">
        <f t="shared" si="7"/>
        <v>98754.849000000002</v>
      </c>
    </row>
    <row r="14" spans="1:20">
      <c r="A14" s="7" t="s">
        <v>31</v>
      </c>
      <c r="B14" s="8">
        <v>2398</v>
      </c>
      <c r="C14" s="8">
        <v>2615</v>
      </c>
      <c r="D14" s="8">
        <v>3007</v>
      </c>
      <c r="E14" s="8">
        <v>3126</v>
      </c>
      <c r="F14" s="8">
        <v>3135</v>
      </c>
      <c r="G14" s="8">
        <v>4784</v>
      </c>
      <c r="H14" s="8">
        <v>6026</v>
      </c>
      <c r="I14" s="8">
        <v>7438</v>
      </c>
      <c r="J14" s="9">
        <f t="shared" ref="J14:Q14" si="8">J13*0.1507</f>
        <v>7458.2937000000002</v>
      </c>
      <c r="K14" s="9">
        <f t="shared" si="8"/>
        <v>8414.4851999999992</v>
      </c>
      <c r="L14" s="9">
        <f t="shared" si="8"/>
        <v>9370.6767</v>
      </c>
      <c r="M14" s="9">
        <f t="shared" si="8"/>
        <v>10422.487349999999</v>
      </c>
      <c r="N14" s="9">
        <f t="shared" si="8"/>
        <v>10649.754945720004</v>
      </c>
      <c r="O14" s="9">
        <f t="shared" si="8"/>
        <v>12015.167721975</v>
      </c>
      <c r="P14" s="9">
        <f t="shared" si="8"/>
        <v>13380.484879080002</v>
      </c>
      <c r="Q14" s="9">
        <f t="shared" si="8"/>
        <v>14882.355744300001</v>
      </c>
    </row>
    <row r="15" spans="1:20">
      <c r="A15" s="7" t="s">
        <v>32</v>
      </c>
      <c r="B15" s="8">
        <v>14881</v>
      </c>
      <c r="C15" s="8">
        <v>16599</v>
      </c>
      <c r="D15" s="8">
        <v>19309</v>
      </c>
      <c r="E15" s="8">
        <v>22091</v>
      </c>
      <c r="F15" s="8">
        <v>18775</v>
      </c>
      <c r="G15" s="8">
        <v>26422</v>
      </c>
      <c r="H15" s="8">
        <v>31910</v>
      </c>
      <c r="I15" s="8">
        <v>42960</v>
      </c>
      <c r="J15" s="9">
        <f t="shared" ref="J15:Q15" si="9">J13-J14</f>
        <v>42032.706299999998</v>
      </c>
      <c r="K15" s="9">
        <f t="shared" si="9"/>
        <v>47421.514800000004</v>
      </c>
      <c r="L15" s="9">
        <f t="shared" si="9"/>
        <v>52810.323300000004</v>
      </c>
      <c r="M15" s="9">
        <f t="shared" si="9"/>
        <v>58738.012650000004</v>
      </c>
      <c r="N15" s="9">
        <f t="shared" si="9"/>
        <v>60018.824654280019</v>
      </c>
      <c r="O15" s="9">
        <f t="shared" si="9"/>
        <v>67713.881528024998</v>
      </c>
      <c r="P15" s="9">
        <f t="shared" si="9"/>
        <v>75408.399520920007</v>
      </c>
      <c r="Q15" s="9">
        <f t="shared" si="9"/>
        <v>83872.493255699999</v>
      </c>
    </row>
    <row r="16" spans="1:20">
      <c r="A16" s="7" t="s">
        <v>33</v>
      </c>
      <c r="B16" s="10">
        <v>0.6</v>
      </c>
      <c r="C16" s="10">
        <v>0.67</v>
      </c>
      <c r="D16" s="10">
        <v>0.78</v>
      </c>
      <c r="F16" s="10">
        <v>0.76</v>
      </c>
      <c r="G16" s="10">
        <v>1.08</v>
      </c>
      <c r="H16" s="10">
        <v>1.3</v>
      </c>
      <c r="J16" s="11">
        <f t="shared" ref="J16:Q16" si="10">IF(J17&lt;&gt;0,J15/J17,"")</f>
        <v>1.7234785589832193</v>
      </c>
      <c r="K16" s="11">
        <f t="shared" si="10"/>
        <v>1.9529933903083383</v>
      </c>
      <c r="L16" s="11">
        <f t="shared" si="10"/>
        <v>2.1856347151350417</v>
      </c>
      <c r="M16" s="11">
        <f t="shared" si="10"/>
        <v>2.444349175045891</v>
      </c>
      <c r="N16" s="11">
        <f t="shared" si="10"/>
        <v>2.5117843178652346</v>
      </c>
      <c r="O16" s="11">
        <f t="shared" si="10"/>
        <v>2.8520317967204964</v>
      </c>
      <c r="P16" s="11">
        <f t="shared" si="10"/>
        <v>3.1990084836358563</v>
      </c>
      <c r="Q16" s="11">
        <f t="shared" si="10"/>
        <v>3.5868304071047659</v>
      </c>
    </row>
    <row r="17" spans="1:17">
      <c r="A17" s="7" t="s">
        <v>34</v>
      </c>
      <c r="B17" s="8">
        <v>24890</v>
      </c>
      <c r="C17" s="8">
        <v>24848</v>
      </c>
      <c r="D17" s="8">
        <v>24774</v>
      </c>
      <c r="F17" s="8">
        <v>24611</v>
      </c>
      <c r="G17" s="8">
        <v>24532</v>
      </c>
      <c r="H17" s="8">
        <v>24483</v>
      </c>
      <c r="J17" s="9">
        <f>24483-(J15*0.85*0.5/188.63)</f>
        <v>24388.296611474845</v>
      </c>
      <c r="K17" s="9">
        <f t="shared" ref="K17:Q17" si="11">J17-(K15*0.85*0.5/188.63)</f>
        <v>24281.451762882363</v>
      </c>
      <c r="L17" s="9">
        <f t="shared" si="11"/>
        <v>24162.465454222554</v>
      </c>
      <c r="M17" s="9">
        <f t="shared" si="11"/>
        <v>24030.123539488683</v>
      </c>
      <c r="N17" s="9">
        <f t="shared" si="11"/>
        <v>23894.89584252601</v>
      </c>
      <c r="O17" s="9">
        <f t="shared" si="11"/>
        <v>23742.330504830996</v>
      </c>
      <c r="P17" s="9">
        <f t="shared" si="11"/>
        <v>23572.428740549647</v>
      </c>
      <c r="Q17" s="9">
        <f t="shared" si="11"/>
        <v>23383.456627769749</v>
      </c>
    </row>
    <row r="19" spans="1:17">
      <c r="A19" s="7" t="s">
        <v>35</v>
      </c>
      <c r="F19" s="12">
        <f t="shared" ref="F19:Q19" si="12">F4/B4-1</f>
        <v>0.69182921210259551</v>
      </c>
      <c r="G19" s="12">
        <f t="shared" si="12"/>
        <v>0.5560252996005326</v>
      </c>
      <c r="H19" s="12">
        <f t="shared" si="12"/>
        <v>0.62493586454592109</v>
      </c>
      <c r="I19" s="12">
        <f t="shared" si="12"/>
        <v>0.73214512725331171</v>
      </c>
      <c r="J19" s="13">
        <f t="shared" si="12"/>
        <v>0.77023285370614136</v>
      </c>
      <c r="K19" s="13">
        <f t="shared" si="12"/>
        <v>0.8826348330231264</v>
      </c>
      <c r="L19" s="13">
        <f t="shared" si="12"/>
        <v>0.7191172858997299</v>
      </c>
      <c r="M19" s="13">
        <f t="shared" si="12"/>
        <v>0.59995302890190372</v>
      </c>
      <c r="N19" s="13">
        <f t="shared" si="12"/>
        <v>0.42790769230769277</v>
      </c>
      <c r="O19" s="13">
        <f t="shared" si="12"/>
        <v>0.42791477272727274</v>
      </c>
      <c r="P19" s="13">
        <f t="shared" si="12"/>
        <v>0.42791020408163272</v>
      </c>
      <c r="Q19" s="13">
        <f t="shared" si="12"/>
        <v>0.42790825688073419</v>
      </c>
    </row>
    <row r="20" spans="1:17">
      <c r="A20" s="7" t="s">
        <v>36</v>
      </c>
      <c r="B20" s="12">
        <f t="shared" ref="B20:Q20" si="13">IF(B4&lt;&gt;0,B6/B4,"")</f>
        <v>0.78352019659038552</v>
      </c>
      <c r="C20" s="12">
        <f t="shared" si="13"/>
        <v>0.75146471371504664</v>
      </c>
      <c r="D20" s="12">
        <f t="shared" si="13"/>
        <v>0.74556752750698363</v>
      </c>
      <c r="E20" s="12">
        <f t="shared" si="13"/>
        <v>0.73028908494571709</v>
      </c>
      <c r="F20" s="12">
        <f t="shared" si="13"/>
        <v>0.60523807362353044</v>
      </c>
      <c r="G20" s="12">
        <f t="shared" si="13"/>
        <v>0.72423678411740799</v>
      </c>
      <c r="H20" s="12">
        <f t="shared" si="13"/>
        <v>0.7341157071185489</v>
      </c>
      <c r="I20" s="12">
        <f t="shared" si="13"/>
        <v>0.74996697344665109</v>
      </c>
      <c r="J20" s="13">
        <f t="shared" si="13"/>
        <v>0.69750000000000001</v>
      </c>
      <c r="K20" s="13">
        <f t="shared" si="13"/>
        <v>0.69750000000000001</v>
      </c>
      <c r="L20" s="13">
        <f t="shared" si="13"/>
        <v>0.69750000000000001</v>
      </c>
      <c r="M20" s="13">
        <f t="shared" si="13"/>
        <v>0.69750000000000001</v>
      </c>
      <c r="N20" s="13">
        <f t="shared" si="13"/>
        <v>0.69750000000000001</v>
      </c>
      <c r="O20" s="13">
        <f t="shared" si="13"/>
        <v>0.69750000000000001</v>
      </c>
      <c r="P20" s="13">
        <f t="shared" si="13"/>
        <v>0.69750000000000001</v>
      </c>
      <c r="Q20" s="13">
        <f t="shared" si="13"/>
        <v>0.6974999999999999</v>
      </c>
    </row>
    <row r="22" spans="1:17">
      <c r="A22" s="7" t="s">
        <v>37</v>
      </c>
      <c r="B22" s="8">
        <v>15345</v>
      </c>
      <c r="C22" s="8">
        <v>14488</v>
      </c>
      <c r="D22" s="8">
        <v>17627</v>
      </c>
      <c r="E22" s="8">
        <v>16629</v>
      </c>
      <c r="F22" s="8">
        <v>27414</v>
      </c>
      <c r="G22" s="8">
        <v>15365</v>
      </c>
      <c r="H22" s="8">
        <v>23751</v>
      </c>
      <c r="I22" s="8">
        <v>36188</v>
      </c>
      <c r="J22" s="9">
        <f t="shared" ref="J22:Q22" si="14">J4*0.4747</f>
        <v>37026.6</v>
      </c>
      <c r="K22" s="9">
        <f t="shared" si="14"/>
        <v>41773.599999999999</v>
      </c>
      <c r="L22" s="9">
        <f t="shared" si="14"/>
        <v>46520.6</v>
      </c>
      <c r="M22" s="9">
        <f t="shared" si="14"/>
        <v>51742.3</v>
      </c>
      <c r="N22" s="9">
        <f t="shared" si="14"/>
        <v>52870.566960000018</v>
      </c>
      <c r="O22" s="9">
        <f t="shared" si="14"/>
        <v>59649.140550000004</v>
      </c>
      <c r="P22" s="9">
        <f t="shared" si="14"/>
        <v>66427.239440000005</v>
      </c>
      <c r="Q22" s="9">
        <f t="shared" si="14"/>
        <v>73883.257400000017</v>
      </c>
    </row>
    <row r="23" spans="1:17">
      <c r="A23" s="7" t="s">
        <v>38</v>
      </c>
      <c r="B23" s="8">
        <v>369</v>
      </c>
      <c r="C23" s="8">
        <v>977</v>
      </c>
      <c r="D23" s="8">
        <v>813</v>
      </c>
      <c r="E23" s="8">
        <v>1077</v>
      </c>
      <c r="F23" s="8">
        <v>1227</v>
      </c>
      <c r="G23" s="8">
        <v>1895</v>
      </c>
      <c r="H23" s="8">
        <v>1636</v>
      </c>
      <c r="I23" s="8">
        <v>1284</v>
      </c>
      <c r="J23" s="9">
        <f t="shared" ref="J23:Q23" si="15">J4*0.029</f>
        <v>2262</v>
      </c>
      <c r="K23" s="9">
        <f t="shared" si="15"/>
        <v>2552</v>
      </c>
      <c r="L23" s="9">
        <f t="shared" si="15"/>
        <v>2842</v>
      </c>
      <c r="M23" s="9">
        <f t="shared" si="15"/>
        <v>3161</v>
      </c>
      <c r="N23" s="9">
        <f t="shared" si="15"/>
        <v>3229.927200000001</v>
      </c>
      <c r="O23" s="9">
        <f t="shared" si="15"/>
        <v>3644.0385000000001</v>
      </c>
      <c r="P23" s="9">
        <f t="shared" si="15"/>
        <v>4058.1208000000006</v>
      </c>
      <c r="Q23" s="9">
        <f t="shared" si="15"/>
        <v>4513.6180000000013</v>
      </c>
    </row>
    <row r="24" spans="1:17">
      <c r="A24" s="7" t="s">
        <v>39</v>
      </c>
      <c r="B24" s="8">
        <f t="shared" ref="B24:Q24" si="16">B22-B23</f>
        <v>14976</v>
      </c>
      <c r="C24" s="8">
        <f t="shared" si="16"/>
        <v>13511</v>
      </c>
      <c r="D24" s="8">
        <f t="shared" si="16"/>
        <v>16814</v>
      </c>
      <c r="E24" s="8">
        <f t="shared" si="16"/>
        <v>15552</v>
      </c>
      <c r="F24" s="8">
        <f t="shared" si="16"/>
        <v>26187</v>
      </c>
      <c r="G24" s="8">
        <f t="shared" si="16"/>
        <v>13470</v>
      </c>
      <c r="H24" s="8">
        <f t="shared" si="16"/>
        <v>22115</v>
      </c>
      <c r="I24" s="8">
        <f t="shared" si="16"/>
        <v>34904</v>
      </c>
      <c r="J24" s="9">
        <f t="shared" si="16"/>
        <v>34764.6</v>
      </c>
      <c r="K24" s="9">
        <f t="shared" si="16"/>
        <v>39221.599999999999</v>
      </c>
      <c r="L24" s="9">
        <f t="shared" si="16"/>
        <v>43678.6</v>
      </c>
      <c r="M24" s="9">
        <f t="shared" si="16"/>
        <v>48581.3</v>
      </c>
      <c r="N24" s="9">
        <f t="shared" si="16"/>
        <v>49640.63976000002</v>
      </c>
      <c r="O24" s="9">
        <f t="shared" si="16"/>
        <v>56005.102050000001</v>
      </c>
      <c r="P24" s="9">
        <f t="shared" si="16"/>
        <v>62369.118640000001</v>
      </c>
      <c r="Q24" s="9">
        <f t="shared" si="16"/>
        <v>69369.639400000015</v>
      </c>
    </row>
    <row r="25" spans="1:17">
      <c r="A25" s="7" t="s">
        <v>40</v>
      </c>
      <c r="B25" s="12">
        <f t="shared" ref="B25:Q25" si="17">IF(B4&lt;&gt;0,B22/B4,"")</f>
        <v>0.58919520810935344</v>
      </c>
      <c r="C25" s="12">
        <f t="shared" si="17"/>
        <v>0.48229027962716381</v>
      </c>
      <c r="D25" s="12">
        <f t="shared" si="17"/>
        <v>0.50245139957813123</v>
      </c>
      <c r="E25" s="12">
        <f t="shared" si="17"/>
        <v>0.42279626757519512</v>
      </c>
      <c r="F25" s="12">
        <f t="shared" si="17"/>
        <v>0.62216876219871997</v>
      </c>
      <c r="G25" s="12">
        <f t="shared" si="17"/>
        <v>0.32871232056136745</v>
      </c>
      <c r="H25" s="12">
        <f t="shared" si="17"/>
        <v>0.41664035364698454</v>
      </c>
      <c r="I25" s="12">
        <f t="shared" si="17"/>
        <v>0.53118440559543201</v>
      </c>
      <c r="J25" s="13">
        <f t="shared" si="17"/>
        <v>0.47469999999999996</v>
      </c>
      <c r="K25" s="13">
        <f t="shared" si="17"/>
        <v>0.47470000000000001</v>
      </c>
      <c r="L25" s="13">
        <f t="shared" si="17"/>
        <v>0.47470000000000001</v>
      </c>
      <c r="M25" s="13">
        <f t="shared" si="17"/>
        <v>0.47470000000000001</v>
      </c>
      <c r="N25" s="13">
        <f t="shared" si="17"/>
        <v>0.47470000000000001</v>
      </c>
      <c r="O25" s="13">
        <f t="shared" si="17"/>
        <v>0.47470000000000001</v>
      </c>
      <c r="P25" s="13">
        <f t="shared" si="17"/>
        <v>0.47470000000000001</v>
      </c>
      <c r="Q25" s="13">
        <f t="shared" si="17"/>
        <v>0.47470000000000001</v>
      </c>
    </row>
    <row r="27" spans="1:17">
      <c r="A27" s="7" t="s">
        <v>41</v>
      </c>
      <c r="B27" s="8">
        <v>7587</v>
      </c>
      <c r="C27" s="8">
        <v>8563</v>
      </c>
      <c r="D27" s="8">
        <v>9107</v>
      </c>
      <c r="E27" s="8">
        <v>8589</v>
      </c>
      <c r="F27" s="8">
        <v>15234</v>
      </c>
      <c r="G27" s="8">
        <v>11639</v>
      </c>
      <c r="H27" s="8">
        <v>11486</v>
      </c>
      <c r="I27" s="8">
        <v>10605</v>
      </c>
    </row>
    <row r="28" spans="1:17">
      <c r="A28" s="7" t="s">
        <v>42</v>
      </c>
      <c r="B28" s="8">
        <v>12365</v>
      </c>
      <c r="C28" s="8">
        <v>14132</v>
      </c>
      <c r="D28" s="8">
        <v>17693</v>
      </c>
      <c r="E28" s="8">
        <v>23065</v>
      </c>
      <c r="F28" s="8">
        <v>22132</v>
      </c>
      <c r="G28" s="8">
        <v>27808</v>
      </c>
      <c r="H28" s="8">
        <v>33391</v>
      </c>
      <c r="I28" s="8">
        <v>38466</v>
      </c>
    </row>
    <row r="29" spans="1:17">
      <c r="A29" s="7" t="s">
        <v>43</v>
      </c>
      <c r="B29" s="8">
        <v>4062</v>
      </c>
      <c r="C29" s="8">
        <v>4026</v>
      </c>
      <c r="D29" s="8">
        <v>3806</v>
      </c>
      <c r="E29" s="8">
        <v>3771</v>
      </c>
      <c r="F29" s="8">
        <v>2779</v>
      </c>
      <c r="G29" s="8">
        <v>2658</v>
      </c>
      <c r="H29" s="8">
        <v>2709</v>
      </c>
      <c r="I29" s="8">
        <v>3180</v>
      </c>
    </row>
    <row r="30" spans="1:17">
      <c r="A30" s="7" t="s">
        <v>44</v>
      </c>
      <c r="B30" s="8">
        <v>4006</v>
      </c>
      <c r="C30" s="8">
        <v>4885</v>
      </c>
      <c r="D30" s="8">
        <v>5343</v>
      </c>
      <c r="E30" s="8">
        <v>6283</v>
      </c>
      <c r="F30" s="8">
        <v>7136</v>
      </c>
      <c r="G30" s="8">
        <v>9141</v>
      </c>
      <c r="H30" s="8">
        <v>9780</v>
      </c>
      <c r="I30" s="8">
        <v>10383</v>
      </c>
    </row>
    <row r="31" spans="1:17">
      <c r="A31" s="7" t="s">
        <v>45</v>
      </c>
      <c r="B31" s="8">
        <v>4453</v>
      </c>
      <c r="C31" s="8">
        <v>4622</v>
      </c>
      <c r="D31" s="8">
        <v>4724</v>
      </c>
      <c r="E31" s="8">
        <v>5188</v>
      </c>
      <c r="F31" s="8">
        <v>5498</v>
      </c>
      <c r="G31" s="8">
        <v>5755</v>
      </c>
      <c r="H31" s="8">
        <v>6261</v>
      </c>
      <c r="I31" s="8">
        <v>20832</v>
      </c>
    </row>
    <row r="32" spans="1:17">
      <c r="A32" s="7" t="s">
        <v>46</v>
      </c>
      <c r="B32" s="8">
        <f t="shared" ref="B32:I32" si="18">B33-B27-B28-B29-B30-B31</f>
        <v>44599</v>
      </c>
      <c r="C32" s="8">
        <f t="shared" si="18"/>
        <v>48999</v>
      </c>
      <c r="D32" s="8">
        <f t="shared" si="18"/>
        <v>55340</v>
      </c>
      <c r="E32" s="8">
        <f t="shared" si="18"/>
        <v>64705</v>
      </c>
      <c r="F32" s="8">
        <f t="shared" si="18"/>
        <v>72475</v>
      </c>
      <c r="G32" s="8">
        <f t="shared" si="18"/>
        <v>83739</v>
      </c>
      <c r="H32" s="8">
        <f t="shared" si="18"/>
        <v>97521</v>
      </c>
      <c r="I32" s="8">
        <f t="shared" si="18"/>
        <v>123337</v>
      </c>
    </row>
    <row r="33" spans="1:9">
      <c r="A33" s="7" t="s">
        <v>47</v>
      </c>
      <c r="B33" s="8">
        <v>77072</v>
      </c>
      <c r="C33" s="8">
        <v>85227</v>
      </c>
      <c r="D33" s="8">
        <v>96013</v>
      </c>
      <c r="E33" s="8">
        <v>111601</v>
      </c>
      <c r="F33" s="8">
        <v>125254</v>
      </c>
      <c r="G33" s="8">
        <v>140740</v>
      </c>
      <c r="H33" s="8">
        <v>161148</v>
      </c>
      <c r="I33" s="8">
        <v>206803</v>
      </c>
    </row>
    <row r="35" spans="1:9">
      <c r="A35" s="7" t="s">
        <v>48</v>
      </c>
      <c r="B35" s="8">
        <v>2715</v>
      </c>
      <c r="C35" s="8">
        <v>3680</v>
      </c>
      <c r="D35" s="8">
        <v>5353</v>
      </c>
      <c r="E35" s="8">
        <v>6310</v>
      </c>
      <c r="F35" s="8">
        <v>7331</v>
      </c>
      <c r="G35" s="8">
        <v>9064</v>
      </c>
      <c r="H35" s="8">
        <v>8624</v>
      </c>
      <c r="I35" s="8">
        <v>9812</v>
      </c>
    </row>
    <row r="36" spans="1:9">
      <c r="A36" s="7" t="s">
        <v>49</v>
      </c>
      <c r="B36" s="8">
        <v>11258</v>
      </c>
      <c r="C36" s="8">
        <v>10289</v>
      </c>
      <c r="D36" s="8">
        <v>11126</v>
      </c>
      <c r="E36" s="8">
        <v>11737</v>
      </c>
      <c r="F36" s="8">
        <v>19211</v>
      </c>
      <c r="G36" s="8">
        <v>15193</v>
      </c>
      <c r="H36" s="8">
        <v>16452</v>
      </c>
      <c r="I36" s="8">
        <v>21352</v>
      </c>
    </row>
    <row r="37" spans="1:9">
      <c r="A37" s="7" t="s">
        <v>50</v>
      </c>
      <c r="B37" s="8">
        <v>845</v>
      </c>
      <c r="C37" s="8">
        <v>948</v>
      </c>
      <c r="D37" s="8">
        <v>752</v>
      </c>
      <c r="E37" s="8">
        <v>837</v>
      </c>
      <c r="F37" s="8">
        <v>1074</v>
      </c>
      <c r="G37" s="8">
        <v>980</v>
      </c>
      <c r="H37" s="8">
        <v>1248</v>
      </c>
      <c r="I37" s="8">
        <v>1379</v>
      </c>
    </row>
    <row r="38" spans="1:9">
      <c r="A38" s="7" t="s">
        <v>51</v>
      </c>
      <c r="B38" s="8">
        <v>9710</v>
      </c>
      <c r="C38" s="8">
        <v>8461</v>
      </c>
      <c r="D38" s="8">
        <v>8462</v>
      </c>
      <c r="E38" s="8">
        <v>8463</v>
      </c>
      <c r="F38" s="8">
        <v>8464</v>
      </c>
      <c r="G38" s="8">
        <v>8466</v>
      </c>
      <c r="H38" s="8">
        <v>8467</v>
      </c>
      <c r="I38" s="8">
        <v>8468</v>
      </c>
    </row>
    <row r="39" spans="1:9">
      <c r="A39" s="7" t="s">
        <v>52</v>
      </c>
      <c r="B39" s="8">
        <f>27930-B35-B36-B37-B38</f>
        <v>3402</v>
      </c>
      <c r="C39" s="8">
        <f>27070-C35-C36-C37-C38</f>
        <v>3692</v>
      </c>
      <c r="D39" s="8">
        <f>30114-D35-D36-D37-D38</f>
        <v>4421</v>
      </c>
      <c r="E39" s="8">
        <f>32274-E35-E36-E37-E38</f>
        <v>4927</v>
      </c>
      <c r="F39" s="8">
        <f>41411-F35-F36-F37-F38</f>
        <v>5331</v>
      </c>
      <c r="G39" s="8">
        <f>40609-G35-G36-G37-G38</f>
        <v>6906</v>
      </c>
      <c r="H39" s="8">
        <f>42251-H35-H36-H37-H38</f>
        <v>7460</v>
      </c>
      <c r="I39" s="8">
        <f>49510-I35-I36-I37-I38</f>
        <v>8499</v>
      </c>
    </row>
    <row r="40" spans="1:9">
      <c r="A40" s="7" t="s">
        <v>53</v>
      </c>
      <c r="B40" s="8">
        <v>49142</v>
      </c>
      <c r="C40" s="8">
        <v>58157</v>
      </c>
      <c r="D40" s="8">
        <v>65899</v>
      </c>
      <c r="E40" s="8">
        <v>79327</v>
      </c>
      <c r="F40" s="8">
        <v>83843</v>
      </c>
      <c r="G40" s="8">
        <v>100131</v>
      </c>
      <c r="H40" s="8">
        <v>118897</v>
      </c>
      <c r="I40" s="8">
        <v>157293</v>
      </c>
    </row>
    <row r="41" spans="1:9">
      <c r="A41" s="7" t="s">
        <v>54</v>
      </c>
      <c r="B41" s="8">
        <f t="shared" ref="B41:I41" si="19">B35+B36+B37+B38+B39+B40</f>
        <v>77072</v>
      </c>
      <c r="C41" s="8">
        <f t="shared" si="19"/>
        <v>85227</v>
      </c>
      <c r="D41" s="8">
        <f t="shared" si="19"/>
        <v>96013</v>
      </c>
      <c r="E41" s="8">
        <f t="shared" si="19"/>
        <v>111601</v>
      </c>
      <c r="F41" s="8">
        <f t="shared" si="19"/>
        <v>125254</v>
      </c>
      <c r="G41" s="8">
        <f t="shared" si="19"/>
        <v>140740</v>
      </c>
      <c r="H41" s="8">
        <f t="shared" si="19"/>
        <v>161148</v>
      </c>
      <c r="I41" s="8">
        <f t="shared" si="19"/>
        <v>206803</v>
      </c>
    </row>
    <row r="43" spans="1:9">
      <c r="A43" s="14" t="s">
        <v>55</v>
      </c>
    </row>
    <row r="44" spans="1:9">
      <c r="A44" s="7"/>
      <c r="B44" s="5" t="s">
        <v>56</v>
      </c>
      <c r="C44" s="5" t="s">
        <v>57</v>
      </c>
      <c r="D44" s="5" t="s">
        <v>58</v>
      </c>
      <c r="E44" s="5" t="s">
        <v>59</v>
      </c>
    </row>
    <row r="45" spans="1:9">
      <c r="A45" s="7" t="s">
        <v>20</v>
      </c>
      <c r="B45" s="15">
        <f>B4+C4+D4+E4</f>
        <v>130497</v>
      </c>
      <c r="C45" s="15">
        <f>F4+G4+H4+I4</f>
        <v>215938</v>
      </c>
      <c r="D45" s="16">
        <f>J4+K4+L4+M4</f>
        <v>373000</v>
      </c>
      <c r="E45" s="16">
        <f>N4+O4+P4+Q4</f>
        <v>532610.50000000012</v>
      </c>
    </row>
    <row r="46" spans="1:9">
      <c r="A46" s="7" t="s">
        <v>23</v>
      </c>
      <c r="B46" s="15">
        <f>B6+C6+D6+E6</f>
        <v>97859</v>
      </c>
      <c r="C46" s="15">
        <f>F6+G6+H6+I6</f>
        <v>153463</v>
      </c>
      <c r="D46" s="16">
        <f>J6+K6+L6+M6</f>
        <v>260167.5</v>
      </c>
      <c r="E46" s="16">
        <f>N6+O6+P6+Q6</f>
        <v>371495.8237500001</v>
      </c>
    </row>
    <row r="47" spans="1:9">
      <c r="A47" s="7" t="s">
        <v>28</v>
      </c>
      <c r="B47" s="15">
        <f>B11+C11+D11+E11</f>
        <v>81454</v>
      </c>
      <c r="C47" s="15">
        <f>F11+G11+H11+I11</f>
        <v>130387</v>
      </c>
      <c r="D47" s="16">
        <f>J11+K11+L11+M11</f>
        <v>219062.90000000002</v>
      </c>
      <c r="E47" s="16">
        <f>N11+O11+P11+Q11</f>
        <v>312802.14665000001</v>
      </c>
    </row>
    <row r="48" spans="1:9">
      <c r="A48" s="7" t="s">
        <v>32</v>
      </c>
      <c r="B48" s="15">
        <f>B15+C15+D15+E15</f>
        <v>72880</v>
      </c>
      <c r="C48" s="15">
        <f>F15+G15+H15+I15</f>
        <v>120067</v>
      </c>
      <c r="D48" s="16">
        <f>J15+K15+L15+M15</f>
        <v>201002.55705</v>
      </c>
      <c r="E48" s="16">
        <f>N15+O15+P15+Q15</f>
        <v>287013.59895892499</v>
      </c>
    </row>
    <row r="49" spans="1:5">
      <c r="A49" s="7" t="s">
        <v>33</v>
      </c>
      <c r="B49" s="17">
        <f>B16+C16+D16+E16</f>
        <v>2.0499999999999998</v>
      </c>
      <c r="C49" s="17">
        <f>F16+G16+H16+I16</f>
        <v>3.14</v>
      </c>
      <c r="D49" s="18">
        <f>J16+K16+L16+M16</f>
        <v>8.3064558394724912</v>
      </c>
      <c r="E49" s="18">
        <f>N16+O16+P16+Q16</f>
        <v>12.149655005326352</v>
      </c>
    </row>
    <row r="50" spans="1:5">
      <c r="A50" s="7" t="s">
        <v>39</v>
      </c>
      <c r="B50" s="15">
        <f>B24+C24+D24+E24</f>
        <v>60853</v>
      </c>
      <c r="C50" s="15">
        <f>F24+G24+H24+I24</f>
        <v>96676</v>
      </c>
      <c r="D50" s="16">
        <f>J24+K24+L24+M24</f>
        <v>166246.09999999998</v>
      </c>
      <c r="E50" s="16">
        <f>N24+O24+P24+Q24</f>
        <v>237384.49985000005</v>
      </c>
    </row>
    <row r="52" spans="1:5">
      <c r="A52" s="7" t="s">
        <v>60</v>
      </c>
      <c r="B52" s="19"/>
      <c r="C52" s="19">
        <f>(F4+G4+H4+I4)/(B4+C4+D4+E4)-1</f>
        <v>0.65473535790094783</v>
      </c>
      <c r="D52" s="20">
        <f>(J4+K4+L4+M4)/(F4+G4+H4+I4)-1</f>
        <v>0.72734766460743372</v>
      </c>
      <c r="E52" s="20">
        <f>(N4+O4+P4+Q4)/(J4+K4+L4+M4)-1</f>
        <v>0.42791018766756062</v>
      </c>
    </row>
    <row r="53" spans="1:5">
      <c r="A53" s="7" t="s">
        <v>36</v>
      </c>
      <c r="B53" s="19">
        <f>IF((B4+C4+D4+E4)&lt;&gt;0,(B6+C6+D6+E6)/(B4+C4+D4+E4),"")</f>
        <v>0.74989463359310937</v>
      </c>
      <c r="C53" s="19">
        <f>IF((F4+G4+H4+I4)&lt;&gt;0,(F6+G6+H6+I6)/(F4+G4+H4+I4),"")</f>
        <v>0.71068084357547079</v>
      </c>
      <c r="D53" s="20">
        <f>IF((J4+K4+L4+M4)&lt;&gt;0,(J6+K6+L6+M6)/(J4+K4+L4+M4),"")</f>
        <v>0.69750000000000001</v>
      </c>
      <c r="E53" s="20">
        <f>IF((N4+O4+P4+Q4)&lt;&gt;0,(N6+O6+P6+Q6)/(N4+O4+P4+Q4),"")</f>
        <v>0.69750000000000001</v>
      </c>
    </row>
    <row r="54" spans="1:5">
      <c r="A54" s="7" t="s">
        <v>61</v>
      </c>
      <c r="B54" s="19">
        <f>IF((B4+C4+D4+E4)&lt;&gt;0,(B11+C11+D11+E11)/(B4+C4+D4+E4),"")</f>
        <v>0.62418293140838488</v>
      </c>
      <c r="C54" s="19">
        <f>IF((F4+G4+H4+I4)&lt;&gt;0,(F11+G11+H11+I11)/(F4+G4+H4+I4),"")</f>
        <v>0.60381683631412719</v>
      </c>
      <c r="D54" s="20">
        <f>IF((J4+K4+L4+M4)&lt;&gt;0,(J11+K11+L11+M11)/(J4+K4+L4+M4),"")</f>
        <v>0.58730000000000004</v>
      </c>
      <c r="E54" s="20">
        <f>IF((N4+O4+P4+Q4)&lt;&gt;0,(N11+O11+P11+Q11)/(N4+O4+P4+Q4),"")</f>
        <v>0.58729999999999993</v>
      </c>
    </row>
    <row r="55" spans="1:5">
      <c r="A55" s="7" t="s">
        <v>62</v>
      </c>
      <c r="B55" s="19">
        <f>IF((B4+C4+D4+E4)&lt;&gt;0,(B15+C15+D15+E15)/(B4+C4+D4+E4),"")</f>
        <v>0.55848027157712443</v>
      </c>
      <c r="C55" s="19">
        <f>IF((F4+G4+H4+I4)&lt;&gt;0,(F15+G15+H15+I15)/(F4+G4+H4+I4),"")</f>
        <v>0.55602534060702613</v>
      </c>
      <c r="D55" s="20">
        <f>IF((J4+K4+L4+M4)&lt;&gt;0,(J15+K15+L15+M15)/(J4+K4+L4+M4),"")</f>
        <v>0.53888084999999997</v>
      </c>
      <c r="E55" s="20">
        <f>IF((N4+O4+P4+Q4)&lt;&gt;0,(N15+O15+P15+Q15)/(N4+O4+P4+Q4),"")</f>
        <v>0.53888084999999986</v>
      </c>
    </row>
    <row r="56" spans="1:5">
      <c r="A56" s="7" t="s">
        <v>63</v>
      </c>
      <c r="B56" s="19">
        <f>IF((B4+C4+D4+E4)&lt;&gt;0,(B24+C24+D24+E24)/(B4+C4+D4+E4),"")</f>
        <v>0.46631723334636044</v>
      </c>
      <c r="C56" s="19">
        <f>IF((F4+G4+H4+I4)&lt;&gt;0,(F24+G24+H24+I24)/(F4+G4+H4+I4),"")</f>
        <v>0.44770258129648327</v>
      </c>
      <c r="D56" s="20">
        <f>IF((J4+K4+L4+M4)&lt;&gt;0,(J24+K24+L24+M24)/(J4+K4+L4+M4),"")</f>
        <v>0.44569999999999993</v>
      </c>
      <c r="E56" s="20">
        <f>IF((N4+O4+P4+Q4)&lt;&gt;0,(N24+O24+P24+Q24)/(N4+O4+P4+Q4),"")</f>
        <v>0.44569999999999999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1"/>
  <sheetViews>
    <sheetView workbookViewId="0">
      <pane xSplit="1" topLeftCell="B1" activePane="topRight" state="frozen"/>
      <selection pane="topRight" activeCell="A2" sqref="A2"/>
    </sheetView>
  </sheetViews>
  <sheetFormatPr defaultRowHeight="15"/>
  <cols>
    <col min="1" max="1" width="28" customWidth="1"/>
    <col min="2" max="17" width="14" customWidth="1"/>
    <col min="18" max="19" width="16" customWidth="1"/>
  </cols>
  <sheetData>
    <row r="1" spans="1:19">
      <c r="A1" s="1" t="s">
        <v>64</v>
      </c>
    </row>
    <row r="2" spans="1:19">
      <c r="A2" s="21" t="s">
        <v>65</v>
      </c>
    </row>
    <row r="3" spans="1:19">
      <c r="B3" s="5" t="s">
        <v>3</v>
      </c>
      <c r="C3" s="5" t="s">
        <v>4</v>
      </c>
      <c r="D3" s="5" t="s">
        <v>5</v>
      </c>
      <c r="E3" s="5" t="s">
        <v>66</v>
      </c>
      <c r="F3" s="5" t="s">
        <v>7</v>
      </c>
      <c r="G3" s="5" t="s">
        <v>8</v>
      </c>
      <c r="H3" s="5" t="s">
        <v>9</v>
      </c>
      <c r="I3" s="5" t="s">
        <v>67</v>
      </c>
      <c r="J3" s="6" t="s">
        <v>11</v>
      </c>
      <c r="K3" s="6" t="s">
        <v>12</v>
      </c>
      <c r="L3" s="6" t="s">
        <v>13</v>
      </c>
      <c r="M3" s="6" t="s">
        <v>14</v>
      </c>
      <c r="N3" s="6" t="s">
        <v>15</v>
      </c>
      <c r="O3" s="6" t="s">
        <v>16</v>
      </c>
      <c r="P3" s="6" t="s">
        <v>17</v>
      </c>
      <c r="Q3" s="6" t="s">
        <v>18</v>
      </c>
      <c r="R3" s="22" t="s">
        <v>68</v>
      </c>
      <c r="S3" s="22" t="s">
        <v>69</v>
      </c>
    </row>
    <row r="4" spans="1:19">
      <c r="A4" s="23" t="s">
        <v>70</v>
      </c>
      <c r="B4" s="8">
        <v>19392</v>
      </c>
      <c r="C4" s="8">
        <v>22604</v>
      </c>
      <c r="D4" s="8">
        <v>27644</v>
      </c>
      <c r="E4" s="8">
        <v>102196</v>
      </c>
      <c r="F4" s="8">
        <v>34155</v>
      </c>
      <c r="G4" s="8">
        <v>33844</v>
      </c>
      <c r="H4" s="8">
        <v>43028</v>
      </c>
      <c r="I4" s="8">
        <v>162361</v>
      </c>
      <c r="J4" s="9">
        <v>58774</v>
      </c>
      <c r="K4" s="9">
        <v>66308</v>
      </c>
      <c r="L4" s="9">
        <v>73845</v>
      </c>
      <c r="M4" s="9">
        <v>82133</v>
      </c>
      <c r="N4" s="9">
        <v>74352.800000000003</v>
      </c>
      <c r="O4" s="9">
        <v>83883.8</v>
      </c>
      <c r="P4" s="9">
        <v>93418.6</v>
      </c>
      <c r="Q4" s="9">
        <v>103903.5</v>
      </c>
      <c r="R4" s="24">
        <f t="shared" ref="R4:R12" si="0">J4+K4+L4+M4</f>
        <v>281060</v>
      </c>
      <c r="S4" s="24">
        <f t="shared" ref="S4:S12" si="1">N4+O4+P4+Q4</f>
        <v>355558.7</v>
      </c>
    </row>
    <row r="5" spans="1:19">
      <c r="A5" s="23" t="s">
        <v>71</v>
      </c>
      <c r="B5" s="8">
        <v>3171</v>
      </c>
      <c r="C5" s="8">
        <v>3668</v>
      </c>
      <c r="D5" s="8">
        <v>3127</v>
      </c>
      <c r="E5" s="8">
        <v>12990</v>
      </c>
      <c r="F5" s="8">
        <v>4957</v>
      </c>
      <c r="G5" s="8">
        <v>7252</v>
      </c>
      <c r="H5" s="8">
        <v>8187</v>
      </c>
      <c r="I5" s="8">
        <v>31376</v>
      </c>
      <c r="J5" s="9">
        <v>12571</v>
      </c>
      <c r="K5" s="9">
        <v>14183</v>
      </c>
      <c r="L5" s="9">
        <v>15794</v>
      </c>
      <c r="M5" s="9">
        <v>17567</v>
      </c>
      <c r="N5" s="9">
        <v>26388.400000000001</v>
      </c>
      <c r="O5" s="9">
        <v>29772.2</v>
      </c>
      <c r="P5" s="9">
        <v>33153.9</v>
      </c>
      <c r="Q5" s="9">
        <v>36875.699999999997</v>
      </c>
      <c r="R5" s="24">
        <f t="shared" si="0"/>
        <v>60115</v>
      </c>
      <c r="S5" s="24">
        <f t="shared" si="1"/>
        <v>126190.2</v>
      </c>
    </row>
    <row r="6" spans="1:19">
      <c r="A6" s="7" t="s">
        <v>72</v>
      </c>
      <c r="B6" s="25">
        <f t="shared" ref="B6:Q6" si="2">B4+B5</f>
        <v>22563</v>
      </c>
      <c r="C6" s="25">
        <f t="shared" si="2"/>
        <v>26272</v>
      </c>
      <c r="D6" s="25">
        <f t="shared" si="2"/>
        <v>30771</v>
      </c>
      <c r="E6" s="25">
        <f t="shared" si="2"/>
        <v>115186</v>
      </c>
      <c r="F6" s="25">
        <f t="shared" si="2"/>
        <v>39112</v>
      </c>
      <c r="G6" s="25">
        <f t="shared" si="2"/>
        <v>41096</v>
      </c>
      <c r="H6" s="25">
        <f t="shared" si="2"/>
        <v>51215</v>
      </c>
      <c r="I6" s="25">
        <f t="shared" si="2"/>
        <v>193737</v>
      </c>
      <c r="J6" s="25">
        <f t="shared" si="2"/>
        <v>71345</v>
      </c>
      <c r="K6" s="25">
        <f t="shared" si="2"/>
        <v>80491</v>
      </c>
      <c r="L6" s="25">
        <f t="shared" si="2"/>
        <v>89639</v>
      </c>
      <c r="M6" s="25">
        <f t="shared" si="2"/>
        <v>99700</v>
      </c>
      <c r="N6" s="25">
        <f t="shared" si="2"/>
        <v>100741.20000000001</v>
      </c>
      <c r="O6" s="25">
        <f t="shared" si="2"/>
        <v>113656</v>
      </c>
      <c r="P6" s="25">
        <f t="shared" si="2"/>
        <v>126572.5</v>
      </c>
      <c r="Q6" s="25">
        <f t="shared" si="2"/>
        <v>140779.20000000001</v>
      </c>
      <c r="R6" s="24">
        <f t="shared" si="0"/>
        <v>341175</v>
      </c>
      <c r="S6" s="24">
        <f t="shared" si="1"/>
        <v>481748.9</v>
      </c>
    </row>
    <row r="7" spans="1:19">
      <c r="A7" s="7" t="s">
        <v>73</v>
      </c>
      <c r="B7" s="8">
        <v>2647</v>
      </c>
      <c r="C7" s="8">
        <v>2880</v>
      </c>
      <c r="D7" s="8">
        <v>3279</v>
      </c>
      <c r="E7" s="8">
        <v>11350</v>
      </c>
      <c r="F7" s="8">
        <v>3763</v>
      </c>
      <c r="G7" s="8">
        <v>4287</v>
      </c>
      <c r="H7" s="8">
        <v>4265</v>
      </c>
      <c r="I7" s="8">
        <v>16042</v>
      </c>
      <c r="J7" s="9">
        <v>4267</v>
      </c>
      <c r="K7" s="9">
        <v>4814</v>
      </c>
      <c r="L7" s="9">
        <v>5361</v>
      </c>
      <c r="M7" s="9">
        <v>5963</v>
      </c>
      <c r="N7" s="9">
        <v>5659.6</v>
      </c>
      <c r="O7" s="9">
        <v>6385.1</v>
      </c>
      <c r="P7" s="9">
        <v>7110.7</v>
      </c>
      <c r="Q7" s="9">
        <v>7909.1</v>
      </c>
      <c r="R7" s="24">
        <f t="shared" si="0"/>
        <v>20405</v>
      </c>
      <c r="S7" s="24">
        <f t="shared" si="1"/>
        <v>27064.5</v>
      </c>
    </row>
    <row r="8" spans="1:19">
      <c r="A8" s="7" t="s">
        <v>74</v>
      </c>
      <c r="B8" s="8">
        <v>427</v>
      </c>
      <c r="C8" s="8">
        <v>454</v>
      </c>
      <c r="D8" s="8">
        <v>486</v>
      </c>
      <c r="E8" s="8">
        <v>1878</v>
      </c>
      <c r="F8" s="8">
        <v>509</v>
      </c>
      <c r="G8" s="8">
        <v>601</v>
      </c>
      <c r="H8" s="8">
        <v>760</v>
      </c>
      <c r="I8" s="8">
        <v>3191</v>
      </c>
      <c r="J8" s="9">
        <v>1512</v>
      </c>
      <c r="K8" s="9">
        <v>1706</v>
      </c>
      <c r="L8" s="9">
        <v>1900</v>
      </c>
      <c r="M8" s="9">
        <v>2113</v>
      </c>
      <c r="N8" s="9">
        <v>3809.1</v>
      </c>
      <c r="O8" s="9">
        <v>4297.8999999999996</v>
      </c>
      <c r="P8" s="9">
        <v>4786.6000000000004</v>
      </c>
      <c r="Q8" s="9">
        <v>5323.2</v>
      </c>
      <c r="R8" s="24">
        <f t="shared" si="0"/>
        <v>7231</v>
      </c>
      <c r="S8" s="24">
        <f t="shared" si="1"/>
        <v>18216.8</v>
      </c>
    </row>
    <row r="9" spans="1:19">
      <c r="A9" s="7" t="s">
        <v>75</v>
      </c>
      <c r="B9" s="8">
        <v>329</v>
      </c>
      <c r="C9" s="8">
        <v>346</v>
      </c>
      <c r="D9" s="8">
        <v>449</v>
      </c>
      <c r="E9" s="8">
        <v>1694</v>
      </c>
      <c r="F9" s="8">
        <v>567</v>
      </c>
      <c r="G9" s="8">
        <v>586</v>
      </c>
      <c r="H9" s="8">
        <v>592</v>
      </c>
      <c r="I9" s="8">
        <v>2349</v>
      </c>
      <c r="J9" s="9">
        <v>692</v>
      </c>
      <c r="K9" s="9">
        <v>781</v>
      </c>
      <c r="L9" s="9">
        <v>869</v>
      </c>
      <c r="M9" s="9">
        <v>967</v>
      </c>
      <c r="N9" s="9">
        <v>889.8</v>
      </c>
      <c r="O9" s="9">
        <v>1004.3</v>
      </c>
      <c r="P9" s="9">
        <v>1117.5</v>
      </c>
      <c r="Q9" s="9">
        <v>1243.5</v>
      </c>
      <c r="R9" s="24">
        <f t="shared" si="0"/>
        <v>3309</v>
      </c>
      <c r="S9" s="24">
        <f t="shared" si="1"/>
        <v>4255.1000000000004</v>
      </c>
    </row>
    <row r="10" spans="1:19">
      <c r="A10" s="7" t="s">
        <v>76</v>
      </c>
      <c r="B10" s="8">
        <v>78</v>
      </c>
      <c r="C10" s="8">
        <v>88</v>
      </c>
      <c r="D10" s="8">
        <v>97</v>
      </c>
      <c r="E10" s="8">
        <v>389</v>
      </c>
      <c r="F10" s="8">
        <v>111</v>
      </c>
      <c r="G10" s="8">
        <v>173</v>
      </c>
      <c r="H10" s="8">
        <v>174</v>
      </c>
      <c r="I10" s="8">
        <v>619</v>
      </c>
      <c r="J10" s="9">
        <v>184</v>
      </c>
      <c r="K10" s="9">
        <v>208</v>
      </c>
      <c r="L10" s="9">
        <v>231</v>
      </c>
      <c r="M10" s="9">
        <v>257</v>
      </c>
      <c r="N10" s="9">
        <v>277.10000000000002</v>
      </c>
      <c r="O10" s="9">
        <v>313.2</v>
      </c>
      <c r="P10" s="9">
        <v>347.9</v>
      </c>
      <c r="Q10" s="9">
        <v>387</v>
      </c>
      <c r="R10" s="24">
        <f t="shared" si="0"/>
        <v>880</v>
      </c>
      <c r="S10" s="24">
        <f t="shared" si="1"/>
        <v>1325.1999999999998</v>
      </c>
    </row>
    <row r="11" spans="1:19">
      <c r="R11" s="24">
        <f t="shared" si="0"/>
        <v>0</v>
      </c>
      <c r="S11" s="24">
        <f t="shared" si="1"/>
        <v>0</v>
      </c>
    </row>
    <row r="12" spans="1:19">
      <c r="A12" s="26" t="s">
        <v>77</v>
      </c>
      <c r="B12" s="27">
        <f t="shared" ref="B12:Q12" si="3">B6+B7+B8+B9+B10</f>
        <v>26044</v>
      </c>
      <c r="C12" s="27">
        <f t="shared" si="3"/>
        <v>30040</v>
      </c>
      <c r="D12" s="27">
        <f t="shared" si="3"/>
        <v>35082</v>
      </c>
      <c r="E12" s="27">
        <f t="shared" si="3"/>
        <v>130497</v>
      </c>
      <c r="F12" s="27">
        <f t="shared" si="3"/>
        <v>44062</v>
      </c>
      <c r="G12" s="27">
        <f t="shared" si="3"/>
        <v>46743</v>
      </c>
      <c r="H12" s="27">
        <f t="shared" si="3"/>
        <v>57006</v>
      </c>
      <c r="I12" s="27">
        <f t="shared" si="3"/>
        <v>215938</v>
      </c>
      <c r="J12" s="27">
        <f t="shared" si="3"/>
        <v>78000</v>
      </c>
      <c r="K12" s="27">
        <f t="shared" si="3"/>
        <v>88000</v>
      </c>
      <c r="L12" s="27">
        <f t="shared" si="3"/>
        <v>98000</v>
      </c>
      <c r="M12" s="27">
        <f t="shared" si="3"/>
        <v>109000</v>
      </c>
      <c r="N12" s="27">
        <f t="shared" si="3"/>
        <v>111376.80000000003</v>
      </c>
      <c r="O12" s="27">
        <f t="shared" si="3"/>
        <v>125656.5</v>
      </c>
      <c r="P12" s="27">
        <f t="shared" si="3"/>
        <v>139935.20000000001</v>
      </c>
      <c r="Q12" s="27">
        <f t="shared" si="3"/>
        <v>155642.00000000003</v>
      </c>
      <c r="R12" s="28">
        <f t="shared" si="0"/>
        <v>373000</v>
      </c>
      <c r="S12" s="28">
        <f t="shared" si="1"/>
        <v>532610.50000000012</v>
      </c>
    </row>
    <row r="14" spans="1:19">
      <c r="A14" s="29"/>
    </row>
    <row r="15" spans="1:19">
      <c r="A15" s="30"/>
    </row>
    <row r="16" spans="1:19">
      <c r="A16" s="30"/>
    </row>
    <row r="17" spans="1:1">
      <c r="A17" s="30"/>
    </row>
    <row r="18" spans="1:1">
      <c r="A18" s="30"/>
    </row>
    <row r="19" spans="1:1">
      <c r="A19" s="30"/>
    </row>
    <row r="20" spans="1:1">
      <c r="A20" s="30"/>
    </row>
    <row r="21" spans="1:1">
      <c r="A21" s="3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workbookViewId="0">
      <selection activeCell="F27" sqref="F27"/>
    </sheetView>
  </sheetViews>
  <sheetFormatPr defaultRowHeight="15"/>
  <cols>
    <col min="1" max="1" width="30" customWidth="1"/>
    <col min="2" max="7" width="14" customWidth="1"/>
  </cols>
  <sheetData>
    <row r="1" spans="1:7" ht="17.25">
      <c r="A1" s="31" t="s">
        <v>78</v>
      </c>
    </row>
    <row r="2" spans="1:7">
      <c r="A2" s="32" t="s">
        <v>421</v>
      </c>
    </row>
    <row r="4" spans="1:7">
      <c r="A4" s="26" t="s">
        <v>79</v>
      </c>
      <c r="B4" s="33"/>
      <c r="C4" s="33"/>
      <c r="D4" s="33"/>
      <c r="E4" s="33"/>
      <c r="F4" s="33"/>
      <c r="G4" s="33"/>
    </row>
    <row r="5" spans="1:7">
      <c r="A5" s="7" t="s">
        <v>80</v>
      </c>
      <c r="B5" s="34" t="s">
        <v>81</v>
      </c>
      <c r="C5" s="35" t="s">
        <v>82</v>
      </c>
      <c r="D5" s="36" t="s">
        <v>83</v>
      </c>
      <c r="E5" s="34" t="s">
        <v>84</v>
      </c>
      <c r="F5" s="35" t="s">
        <v>85</v>
      </c>
      <c r="G5" s="36" t="s">
        <v>86</v>
      </c>
    </row>
    <row r="6" spans="1:7">
      <c r="A6" s="37" t="s">
        <v>70</v>
      </c>
      <c r="B6" s="38">
        <v>179679.1</v>
      </c>
      <c r="C6" s="38">
        <v>281060</v>
      </c>
      <c r="D6" s="38">
        <v>382440.9</v>
      </c>
      <c r="E6" s="38">
        <v>227305.4</v>
      </c>
      <c r="F6" s="38">
        <v>355558.7</v>
      </c>
      <c r="G6" s="38">
        <v>483812</v>
      </c>
    </row>
    <row r="7" spans="1:7">
      <c r="A7" s="37" t="s">
        <v>71</v>
      </c>
      <c r="B7" s="38">
        <v>30057.5</v>
      </c>
      <c r="C7" s="38">
        <v>60115</v>
      </c>
      <c r="D7" s="38">
        <v>90172.5</v>
      </c>
      <c r="E7" s="38">
        <v>63095.1</v>
      </c>
      <c r="F7" s="38">
        <v>126190.2</v>
      </c>
      <c r="G7" s="38">
        <v>189285.3</v>
      </c>
    </row>
    <row r="8" spans="1:7">
      <c r="A8" s="7" t="s">
        <v>72</v>
      </c>
      <c r="B8" s="39">
        <f t="shared" ref="B8:G8" si="0">B6+B7</f>
        <v>209736.6</v>
      </c>
      <c r="C8" s="39">
        <f t="shared" si="0"/>
        <v>341175</v>
      </c>
      <c r="D8" s="39">
        <f t="shared" si="0"/>
        <v>472613.4</v>
      </c>
      <c r="E8" s="39">
        <f t="shared" si="0"/>
        <v>290400.5</v>
      </c>
      <c r="F8" s="39">
        <f t="shared" si="0"/>
        <v>481748.9</v>
      </c>
      <c r="G8" s="39">
        <f t="shared" si="0"/>
        <v>673097.3</v>
      </c>
    </row>
    <row r="9" spans="1:7">
      <c r="A9" s="40" t="s">
        <v>73</v>
      </c>
      <c r="B9" s="38">
        <v>14702.7</v>
      </c>
      <c r="C9" s="38">
        <v>20405</v>
      </c>
      <c r="D9" s="38">
        <v>26107.3</v>
      </c>
      <c r="E9" s="38">
        <v>19501.099999999999</v>
      </c>
      <c r="F9" s="38">
        <v>27064.5</v>
      </c>
      <c r="G9" s="38">
        <v>34627.9</v>
      </c>
    </row>
    <row r="10" spans="1:7">
      <c r="A10" s="40" t="s">
        <v>74</v>
      </c>
      <c r="B10" s="38">
        <v>3615.5</v>
      </c>
      <c r="C10" s="38">
        <v>7231</v>
      </c>
      <c r="D10" s="38">
        <v>10846.5</v>
      </c>
      <c r="E10" s="38">
        <v>9108.4</v>
      </c>
      <c r="F10" s="38">
        <v>18216.8</v>
      </c>
      <c r="G10" s="38">
        <v>27325.200000000001</v>
      </c>
    </row>
    <row r="11" spans="1:7">
      <c r="A11" s="40" t="s">
        <v>75</v>
      </c>
      <c r="B11" s="38">
        <v>2277.1999999999998</v>
      </c>
      <c r="C11" s="38">
        <v>3309</v>
      </c>
      <c r="D11" s="38">
        <v>4340.8</v>
      </c>
      <c r="E11" s="38">
        <v>2928.3</v>
      </c>
      <c r="F11" s="38">
        <v>4255.1000000000004</v>
      </c>
      <c r="G11" s="38">
        <v>5581.9</v>
      </c>
    </row>
    <row r="12" spans="1:7">
      <c r="A12" s="40" t="s">
        <v>76</v>
      </c>
      <c r="B12" s="38">
        <v>557.9</v>
      </c>
      <c r="C12" s="38">
        <v>880</v>
      </c>
      <c r="D12" s="38">
        <v>1202.0999999999999</v>
      </c>
      <c r="E12" s="38">
        <v>840.1</v>
      </c>
      <c r="F12" s="38">
        <v>1325.2</v>
      </c>
      <c r="G12" s="38">
        <v>1810.3</v>
      </c>
    </row>
    <row r="14" spans="1:7">
      <c r="A14" s="41" t="s">
        <v>87</v>
      </c>
      <c r="B14" s="42">
        <f t="shared" ref="B14:G14" si="1">B8+B9+B10+B11+B12</f>
        <v>230889.90000000002</v>
      </c>
      <c r="C14" s="42">
        <f t="shared" si="1"/>
        <v>373000</v>
      </c>
      <c r="D14" s="42">
        <f t="shared" si="1"/>
        <v>515110.1</v>
      </c>
      <c r="E14" s="42">
        <f t="shared" si="1"/>
        <v>322778.39999999997</v>
      </c>
      <c r="F14" s="42">
        <f t="shared" si="1"/>
        <v>532610.5</v>
      </c>
      <c r="G14" s="42">
        <f t="shared" si="1"/>
        <v>742442.60000000009</v>
      </c>
    </row>
    <row r="17" spans="1:1">
      <c r="A17" s="114" t="s">
        <v>88</v>
      </c>
    </row>
    <row r="18" spans="1:1">
      <c r="A18" s="32" t="s">
        <v>89</v>
      </c>
    </row>
    <row r="19" spans="1:1">
      <c r="A19" s="32" t="s">
        <v>90</v>
      </c>
    </row>
    <row r="20" spans="1:1">
      <c r="A20" s="32" t="s">
        <v>91</v>
      </c>
    </row>
    <row r="21" spans="1:1">
      <c r="A21" s="32" t="s">
        <v>92</v>
      </c>
    </row>
    <row r="22" spans="1:1">
      <c r="A22" s="32" t="s">
        <v>93</v>
      </c>
    </row>
    <row r="23" spans="1:1">
      <c r="A23" s="32" t="s">
        <v>94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01" sqref="F101"/>
    </sheetView>
  </sheetViews>
  <sheetFormatPr defaultRowHeight="15"/>
  <cols>
    <col min="1" max="1" width="34.42578125" bestFit="1" customWidth="1"/>
    <col min="2" max="2" width="16" customWidth="1"/>
    <col min="3" max="8" width="14" customWidth="1"/>
  </cols>
  <sheetData>
    <row r="1" spans="1:2" ht="17.25">
      <c r="A1" s="31" t="s">
        <v>95</v>
      </c>
    </row>
    <row r="3" spans="1:2">
      <c r="A3" s="1" t="s">
        <v>96</v>
      </c>
    </row>
    <row r="4" spans="1:2">
      <c r="A4" t="s">
        <v>97</v>
      </c>
      <c r="B4" s="45">
        <v>0.1252682864951544</v>
      </c>
    </row>
    <row r="5" spans="1:2">
      <c r="A5" t="s">
        <v>98</v>
      </c>
      <c r="B5" s="45">
        <v>3.5000000000000003E-2</v>
      </c>
    </row>
    <row r="6" spans="1:2">
      <c r="A6" t="s">
        <v>99</v>
      </c>
      <c r="B6" s="45">
        <v>0.15117002474372571</v>
      </c>
    </row>
    <row r="7" spans="1:2">
      <c r="A7" t="s">
        <v>100</v>
      </c>
      <c r="B7" s="45">
        <v>0.60381683631412719</v>
      </c>
    </row>
    <row r="8" spans="1:2">
      <c r="A8" t="s">
        <v>101</v>
      </c>
      <c r="B8" s="45">
        <v>2.798025359130862E-2</v>
      </c>
    </row>
    <row r="9" spans="1:2">
      <c r="A9" t="s">
        <v>102</v>
      </c>
      <c r="B9" s="45">
        <v>2.0985190193481461E-2</v>
      </c>
    </row>
    <row r="10" spans="1:2">
      <c r="A10" t="s">
        <v>103</v>
      </c>
      <c r="B10" s="45">
        <v>1.3165816113884539E-2</v>
      </c>
    </row>
    <row r="11" spans="1:2">
      <c r="A11" t="s">
        <v>104</v>
      </c>
      <c r="B11" s="45">
        <v>4.2155618742416807E-2</v>
      </c>
    </row>
    <row r="12" spans="1:2">
      <c r="A12" t="s">
        <v>105</v>
      </c>
      <c r="B12" s="45">
        <v>2.9573303448211991E-2</v>
      </c>
    </row>
    <row r="13" spans="1:2">
      <c r="A13" t="s">
        <v>106</v>
      </c>
      <c r="B13" s="45">
        <v>-7.2971706645537007E-3</v>
      </c>
    </row>
    <row r="15" spans="1:2">
      <c r="A15" s="1" t="s">
        <v>107</v>
      </c>
    </row>
    <row r="16" spans="1:2">
      <c r="A16" s="46" t="s">
        <v>108</v>
      </c>
      <c r="B16" s="47">
        <v>4.3200000000000002E-2</v>
      </c>
    </row>
    <row r="17" spans="1:2">
      <c r="A17" s="46" t="s">
        <v>109</v>
      </c>
      <c r="B17" s="47">
        <v>4.6699999999999998E-2</v>
      </c>
    </row>
    <row r="18" spans="1:2">
      <c r="A18" s="46" t="s">
        <v>110</v>
      </c>
      <c r="B18" s="48">
        <v>2.1701000000000001</v>
      </c>
    </row>
    <row r="19" spans="1:2">
      <c r="A19" s="46" t="s">
        <v>111</v>
      </c>
      <c r="B19" s="48">
        <v>1.7800666666666669</v>
      </c>
    </row>
    <row r="20" spans="1:2">
      <c r="A20" s="46" t="s">
        <v>112</v>
      </c>
      <c r="B20" s="48">
        <v>1.7418444912050981</v>
      </c>
    </row>
    <row r="21" spans="1:2">
      <c r="A21" s="46" t="s">
        <v>113</v>
      </c>
      <c r="B21" s="48">
        <v>1.7609555789358819</v>
      </c>
    </row>
    <row r="22" spans="1:2">
      <c r="A22" s="46" t="s">
        <v>114</v>
      </c>
      <c r="B22" s="47">
        <v>0.12543662553630569</v>
      </c>
    </row>
    <row r="23" spans="1:2">
      <c r="A23" s="46" t="s">
        <v>115</v>
      </c>
      <c r="B23" s="47">
        <v>4.3200000000000002E-2</v>
      </c>
    </row>
    <row r="24" spans="1:2">
      <c r="A24" s="46" t="s">
        <v>116</v>
      </c>
      <c r="B24" s="47">
        <v>3.4128000000000012E-2</v>
      </c>
    </row>
    <row r="25" spans="1:2">
      <c r="A25" s="46" t="s">
        <v>117</v>
      </c>
      <c r="B25" s="47">
        <v>0.9981563730681241</v>
      </c>
    </row>
    <row r="26" spans="1:2">
      <c r="A26" s="46" t="s">
        <v>118</v>
      </c>
      <c r="B26" s="47">
        <v>1.843626931875893E-3</v>
      </c>
    </row>
    <row r="27" spans="1:2">
      <c r="A27" s="46" t="s">
        <v>119</v>
      </c>
      <c r="B27" s="47">
        <v>0.1252682864951544</v>
      </c>
    </row>
    <row r="28" spans="1:2">
      <c r="A28" s="46" t="s">
        <v>120</v>
      </c>
      <c r="B28" s="46" t="s">
        <v>121</v>
      </c>
    </row>
    <row r="29" spans="1:2">
      <c r="A29" s="46" t="s">
        <v>122</v>
      </c>
      <c r="B29" s="46" t="s">
        <v>123</v>
      </c>
    </row>
    <row r="31" spans="1:2">
      <c r="A31" s="1" t="s">
        <v>124</v>
      </c>
    </row>
    <row r="32" spans="1:2">
      <c r="A32" t="s">
        <v>125</v>
      </c>
      <c r="B32" s="45">
        <v>0.72729999999999995</v>
      </c>
    </row>
    <row r="33" spans="1:2">
      <c r="A33" t="s">
        <v>126</v>
      </c>
      <c r="B33" s="45">
        <v>0.4279</v>
      </c>
    </row>
    <row r="34" spans="1:2">
      <c r="A34" t="s">
        <v>127</v>
      </c>
      <c r="B34" s="45">
        <v>0.32600000000000001</v>
      </c>
    </row>
    <row r="35" spans="1:2">
      <c r="A35" t="s">
        <v>128</v>
      </c>
      <c r="B35" s="45">
        <v>0.13689999999999999</v>
      </c>
    </row>
    <row r="36" spans="1:2">
      <c r="A36" t="s">
        <v>129</v>
      </c>
      <c r="B36" s="45">
        <v>3.5000000000000003E-2</v>
      </c>
    </row>
    <row r="38" spans="1:2">
      <c r="A38" s="1" t="s">
        <v>130</v>
      </c>
    </row>
    <row r="39" spans="1:2">
      <c r="A39" t="s">
        <v>20</v>
      </c>
      <c r="B39" s="49">
        <v>215938</v>
      </c>
    </row>
    <row r="40" spans="1:2">
      <c r="A40" t="s">
        <v>28</v>
      </c>
      <c r="B40" s="49">
        <v>130387</v>
      </c>
    </row>
    <row r="41" spans="1:2">
      <c r="A41" t="s">
        <v>32</v>
      </c>
      <c r="B41" s="49">
        <v>120067</v>
      </c>
    </row>
    <row r="42" spans="1:2">
      <c r="A42" t="s">
        <v>131</v>
      </c>
      <c r="B42" s="49">
        <v>6386</v>
      </c>
    </row>
    <row r="43" spans="1:2">
      <c r="A43" t="s">
        <v>132</v>
      </c>
      <c r="B43" s="49">
        <v>40086</v>
      </c>
    </row>
    <row r="44" spans="1:2">
      <c r="A44" t="s">
        <v>37</v>
      </c>
      <c r="B44" s="49">
        <v>102718</v>
      </c>
    </row>
    <row r="45" spans="1:2">
      <c r="A45" t="s">
        <v>133</v>
      </c>
      <c r="B45" s="49">
        <v>6042</v>
      </c>
    </row>
    <row r="46" spans="1:2">
      <c r="A46" t="s">
        <v>41</v>
      </c>
      <c r="B46" s="49">
        <v>10605</v>
      </c>
    </row>
    <row r="47" spans="1:2">
      <c r="A47" t="s">
        <v>51</v>
      </c>
      <c r="B47" s="49">
        <v>8468</v>
      </c>
    </row>
    <row r="48" spans="1:2">
      <c r="A48" t="s">
        <v>134</v>
      </c>
      <c r="B48" s="49">
        <v>24483000000</v>
      </c>
    </row>
    <row r="50" spans="1:7">
      <c r="A50" s="1" t="s">
        <v>135</v>
      </c>
    </row>
    <row r="51" spans="1:7">
      <c r="A51" s="1"/>
      <c r="B51" s="1" t="s">
        <v>136</v>
      </c>
      <c r="C51" s="1" t="s">
        <v>137</v>
      </c>
      <c r="D51" s="1" t="s">
        <v>138</v>
      </c>
      <c r="E51" s="1" t="s">
        <v>139</v>
      </c>
      <c r="F51" s="1" t="s">
        <v>140</v>
      </c>
      <c r="G51" s="1" t="s">
        <v>141</v>
      </c>
    </row>
    <row r="52" spans="1:7">
      <c r="A52" t="s">
        <v>60</v>
      </c>
      <c r="C52" s="47">
        <f>$B$32</f>
        <v>0.72729999999999995</v>
      </c>
      <c r="D52" s="47">
        <f>$B$33</f>
        <v>0.4279</v>
      </c>
      <c r="E52" s="47">
        <f>$B$34</f>
        <v>0.32600000000000001</v>
      </c>
      <c r="F52" s="47">
        <f>$B$35</f>
        <v>0.13689999999999999</v>
      </c>
      <c r="G52" s="47">
        <f>$B$36</f>
        <v>3.5000000000000003E-2</v>
      </c>
    </row>
    <row r="53" spans="1:7">
      <c r="A53" t="s">
        <v>20</v>
      </c>
      <c r="B53" s="49">
        <v>215938</v>
      </c>
      <c r="C53" s="49">
        <f>B53*(1+C52)</f>
        <v>372989.70740000001</v>
      </c>
      <c r="D53" s="49">
        <f>C53*(1+D52)</f>
        <v>532592.00319645996</v>
      </c>
      <c r="E53" s="49">
        <f>D53*(1+E52)</f>
        <v>706216.99623850593</v>
      </c>
      <c r="F53" s="49">
        <f>E53*(1+F52)</f>
        <v>802898.10302355746</v>
      </c>
      <c r="G53" s="49">
        <f>F53*(1+G52)</f>
        <v>830999.53662938194</v>
      </c>
    </row>
    <row r="54" spans="1:7">
      <c r="A54" t="s">
        <v>61</v>
      </c>
      <c r="B54" s="47">
        <v>0.60381683631412719</v>
      </c>
      <c r="C54" s="45">
        <v>0.6038</v>
      </c>
      <c r="D54" s="45">
        <v>0.6038</v>
      </c>
      <c r="E54" s="45">
        <v>0.6038</v>
      </c>
      <c r="F54" s="45">
        <v>0.6038</v>
      </c>
      <c r="G54" s="45">
        <v>0.6038</v>
      </c>
    </row>
    <row r="55" spans="1:7">
      <c r="A55" t="s">
        <v>28</v>
      </c>
      <c r="B55" s="49">
        <v>130387</v>
      </c>
      <c r="C55" s="49">
        <f>C53*C54</f>
        <v>225211.18532812002</v>
      </c>
      <c r="D55" s="49">
        <f>D53*D54</f>
        <v>321579.05153002252</v>
      </c>
      <c r="E55" s="49">
        <f>E53*E54</f>
        <v>426413.82232880988</v>
      </c>
      <c r="F55" s="49">
        <f>F53*F54</f>
        <v>484789.87460562401</v>
      </c>
      <c r="G55" s="49">
        <f>G53*G54</f>
        <v>501757.52021682082</v>
      </c>
    </row>
    <row r="56" spans="1:7">
      <c r="A56" t="s">
        <v>142</v>
      </c>
      <c r="C56" s="49">
        <f>C55*(1-$B$6)</f>
        <v>191166.00486950431</v>
      </c>
      <c r="D56" s="49">
        <f>D55*(1-$B$6)</f>
        <v>272965.93835316517</v>
      </c>
      <c r="E56" s="49">
        <f>E55*(1-$B$6)</f>
        <v>361952.83425629704</v>
      </c>
      <c r="F56" s="49">
        <f>F55*(1-$B$6)</f>
        <v>411504.17726598412</v>
      </c>
      <c r="G56" s="49">
        <f>G55*(1-$B$6)</f>
        <v>425906.82347029354</v>
      </c>
    </row>
    <row r="57" spans="1:7">
      <c r="A57" t="s">
        <v>143</v>
      </c>
      <c r="C57" s="49">
        <f>C53*$B$10</f>
        <v>4910.7138999999997</v>
      </c>
      <c r="D57" s="49">
        <f>D53*$B$10</f>
        <v>7012.0083778099988</v>
      </c>
      <c r="E57" s="49">
        <f>E53*$B$10</f>
        <v>9297.9231089760578</v>
      </c>
      <c r="F57" s="49">
        <f>F53*$B$10</f>
        <v>10570.808782594882</v>
      </c>
      <c r="G57" s="49">
        <f>G53*$B$10</f>
        <v>10940.787089985703</v>
      </c>
    </row>
    <row r="58" spans="1:7">
      <c r="A58" t="s">
        <v>133</v>
      </c>
      <c r="C58" s="49">
        <f>C53*C59</f>
        <v>10443.711807200001</v>
      </c>
      <c r="D58" s="49">
        <f>D53*D59</f>
        <v>13953.910483747251</v>
      </c>
      <c r="E58" s="49">
        <f>E53*E59</f>
        <v>17302.316407843395</v>
      </c>
      <c r="F58" s="49">
        <f>F53*F59</f>
        <v>18225.786938634756</v>
      </c>
      <c r="G58" s="49">
        <f>G53*G59</f>
        <v>17450.990269217022</v>
      </c>
    </row>
    <row r="59" spans="1:7">
      <c r="A59" t="s">
        <v>144</v>
      </c>
      <c r="C59" s="45">
        <v>2.8000000000000001E-2</v>
      </c>
      <c r="D59" s="45">
        <v>2.6200000000000001E-2</v>
      </c>
      <c r="E59" s="45">
        <v>2.4500000000000001E-2</v>
      </c>
      <c r="F59" s="45">
        <v>2.2700000000000001E-2</v>
      </c>
      <c r="G59" s="45">
        <v>2.1000000000000001E-2</v>
      </c>
    </row>
    <row r="60" spans="1:7">
      <c r="A60" t="s">
        <v>145</v>
      </c>
      <c r="C60" s="49">
        <f>$B$11*(C53-B53)</f>
        <v>6620.6119000000008</v>
      </c>
      <c r="D60" s="49">
        <f>$B$11*(D53-C53)</f>
        <v>6728.1335320099979</v>
      </c>
      <c r="E60" s="49">
        <f>$B$11*(E53-D53)</f>
        <v>7319.2690108352608</v>
      </c>
      <c r="F60" s="49">
        <f>$B$11*(F53-E53)</f>
        <v>4075.651877225519</v>
      </c>
      <c r="G60" s="49">
        <f>$B$11*(G53-F53)</f>
        <v>1184.6333212024761</v>
      </c>
    </row>
    <row r="61" spans="1:7">
      <c r="A61" t="s">
        <v>131</v>
      </c>
      <c r="C61" s="49">
        <f>C53*$B$12</f>
        <v>11030.537800000002</v>
      </c>
      <c r="D61" s="49">
        <f>D53*$B$12</f>
        <v>15750.504924620001</v>
      </c>
      <c r="E61" s="49">
        <f>E53*$B$12</f>
        <v>20885.169530046122</v>
      </c>
      <c r="F61" s="49">
        <f>F53*$B$12</f>
        <v>23744.349238709437</v>
      </c>
      <c r="G61" s="49">
        <f>G53*$B$12</f>
        <v>24575.401462064267</v>
      </c>
    </row>
    <row r="62" spans="1:7">
      <c r="A62" t="s">
        <v>146</v>
      </c>
      <c r="C62" s="49">
        <f>C56+C57-C58-C60-C61</f>
        <v>167981.85726230431</v>
      </c>
      <c r="D62" s="49">
        <f>D56+D57-D58-D60-D61</f>
        <v>243545.39779059793</v>
      </c>
      <c r="E62" s="49">
        <f>E56+E57-E58-E60-E61</f>
        <v>325744.00241654832</v>
      </c>
      <c r="F62" s="49">
        <f>F56+F57-F58-F60-F61</f>
        <v>376029.1979940093</v>
      </c>
      <c r="G62" s="49">
        <f>G56+G57-G58-G60-G61</f>
        <v>393636.58550779551</v>
      </c>
    </row>
    <row r="64" spans="1:7">
      <c r="A64" s="1" t="s">
        <v>147</v>
      </c>
    </row>
    <row r="65" spans="1:7">
      <c r="A65" t="s">
        <v>148</v>
      </c>
      <c r="C65" s="49">
        <f>C62/(1+$B$4)^1</f>
        <v>149281.60624299943</v>
      </c>
      <c r="D65" s="49">
        <f>D62/(1+$B$4)^2</f>
        <v>192339.18375042046</v>
      </c>
      <c r="E65" s="49">
        <f>E62/(1+$B$4)^3</f>
        <v>228616.82570046469</v>
      </c>
      <c r="F65" s="49">
        <f>F62/(1+$B$4)^4</f>
        <v>234529.37772269759</v>
      </c>
      <c r="G65" s="49">
        <f>G62/(1+$B$4)^5</f>
        <v>218180.06133579579</v>
      </c>
    </row>
    <row r="66" spans="1:7">
      <c r="A66" t="s">
        <v>149</v>
      </c>
      <c r="B66" s="49">
        <f>G62*(1+$B$5)/($B$4-$B$5)</f>
        <v>4513366.5633770321</v>
      </c>
    </row>
    <row r="67" spans="1:7">
      <c r="A67" t="s">
        <v>150</v>
      </c>
      <c r="B67" s="49">
        <f>B66/(1+$B$4)^5</f>
        <v>2501613.4929587976</v>
      </c>
    </row>
    <row r="69" spans="1:7">
      <c r="A69" s="1" t="s">
        <v>151</v>
      </c>
    </row>
    <row r="70" spans="1:7">
      <c r="A70" t="s">
        <v>152</v>
      </c>
      <c r="B70" s="49">
        <f>SUM(C65:G65)</f>
        <v>1022947.0547523779</v>
      </c>
    </row>
    <row r="71" spans="1:7">
      <c r="A71" t="s">
        <v>150</v>
      </c>
      <c r="B71" s="49">
        <f>B67</f>
        <v>2501613.4929587976</v>
      </c>
    </row>
    <row r="72" spans="1:7">
      <c r="A72" t="s">
        <v>153</v>
      </c>
      <c r="B72" s="49">
        <f>B70+B71</f>
        <v>3524560.5477111754</v>
      </c>
    </row>
    <row r="73" spans="1:7">
      <c r="A73" t="s">
        <v>154</v>
      </c>
      <c r="B73" s="50">
        <f>IF(B72&lt;&gt;0,B71/B72,0)</f>
        <v>0.70976607128605795</v>
      </c>
    </row>
    <row r="74" spans="1:7">
      <c r="A74" t="s">
        <v>155</v>
      </c>
      <c r="B74" s="49">
        <f>-B47</f>
        <v>-8468</v>
      </c>
    </row>
    <row r="75" spans="1:7">
      <c r="A75" t="s">
        <v>156</v>
      </c>
      <c r="B75" s="49">
        <f>B46</f>
        <v>10605</v>
      </c>
    </row>
    <row r="76" spans="1:7">
      <c r="A76" t="s">
        <v>157</v>
      </c>
      <c r="B76" s="49">
        <f>B72+B74+B75</f>
        <v>3526697.5477111754</v>
      </c>
    </row>
    <row r="77" spans="1:7">
      <c r="A77" t="s">
        <v>158</v>
      </c>
      <c r="B77" s="49">
        <f>B48/1000000</f>
        <v>24483</v>
      </c>
    </row>
    <row r="78" spans="1:7">
      <c r="A78" t="s">
        <v>159</v>
      </c>
      <c r="B78" s="49">
        <f>B77*(1+-0.0073)^5</f>
        <v>23602.32259479741</v>
      </c>
    </row>
    <row r="79" spans="1:7" ht="15.75">
      <c r="A79" t="s">
        <v>160</v>
      </c>
      <c r="B79" s="51">
        <f>IF(B78&lt;&gt;0,B76/B78,0)</f>
        <v>149.42163143251651</v>
      </c>
    </row>
    <row r="81" spans="1:4">
      <c r="A81" s="1" t="s">
        <v>161</v>
      </c>
    </row>
    <row r="82" spans="1:4">
      <c r="A82" t="s">
        <v>162</v>
      </c>
      <c r="B82" s="49">
        <f>B66</f>
        <v>4513366.5633770321</v>
      </c>
    </row>
    <row r="83" spans="1:4">
      <c r="A83" t="s">
        <v>163</v>
      </c>
      <c r="B83" s="49">
        <v>6554848</v>
      </c>
    </row>
    <row r="84" spans="1:4">
      <c r="A84" s="32" t="s">
        <v>164</v>
      </c>
    </row>
    <row r="85" spans="1:4">
      <c r="A85" t="s">
        <v>165</v>
      </c>
      <c r="B85" s="52">
        <v>188.63</v>
      </c>
    </row>
    <row r="86" spans="1:4">
      <c r="A86" t="s">
        <v>166</v>
      </c>
      <c r="B86" s="53">
        <f>B79/B85-1</f>
        <v>-0.20785860450343785</v>
      </c>
    </row>
    <row r="88" spans="1:4" ht="15.75">
      <c r="A88" s="54" t="s">
        <v>167</v>
      </c>
    </row>
    <row r="89" spans="1:4">
      <c r="A89" s="32" t="s">
        <v>168</v>
      </c>
    </row>
    <row r="90" spans="1:4">
      <c r="A90" s="1"/>
      <c r="B90" s="55" t="s">
        <v>169</v>
      </c>
      <c r="C90" s="56" t="s">
        <v>170</v>
      </c>
      <c r="D90" s="57" t="s">
        <v>171</v>
      </c>
    </row>
    <row r="91" spans="1:4" ht="15.75">
      <c r="A91" s="7" t="s">
        <v>160</v>
      </c>
      <c r="B91" s="58">
        <v>86.629651853328085</v>
      </c>
      <c r="C91" s="59">
        <v>147.64976740319821</v>
      </c>
      <c r="D91" s="51">
        <v>208.45195715977351</v>
      </c>
    </row>
    <row r="92" spans="1:4">
      <c r="A92" t="s">
        <v>172</v>
      </c>
      <c r="B92" s="88">
        <v>-0.54074297909490487</v>
      </c>
      <c r="C92" s="89">
        <v>-0.21725193551821961</v>
      </c>
      <c r="D92" s="90">
        <v>0.1050837998185524</v>
      </c>
    </row>
    <row r="93" spans="1:4">
      <c r="A93" s="7" t="s">
        <v>173</v>
      </c>
      <c r="B93" s="47">
        <v>6.9199999999999998E-2</v>
      </c>
      <c r="C93" s="47">
        <v>0.72729999999999995</v>
      </c>
      <c r="D93" s="47">
        <v>1.3855</v>
      </c>
    </row>
    <row r="94" spans="1:4">
      <c r="A94" s="7" t="s">
        <v>174</v>
      </c>
      <c r="B94" s="47">
        <v>3.5000000000000003E-2</v>
      </c>
      <c r="C94" s="47">
        <v>3.5000000000000003E-2</v>
      </c>
      <c r="D94" s="47">
        <v>3.5000000000000003E-2</v>
      </c>
    </row>
    <row r="95" spans="1:4">
      <c r="A95" s="7" t="s">
        <v>175</v>
      </c>
      <c r="B95" s="47">
        <v>0.50509999999999999</v>
      </c>
      <c r="C95" s="47">
        <v>0.6038</v>
      </c>
      <c r="D95" s="47">
        <v>0.65380000000000005</v>
      </c>
    </row>
    <row r="96" spans="1:4">
      <c r="A96" s="7" t="s">
        <v>176</v>
      </c>
      <c r="B96" s="47">
        <v>0.6038</v>
      </c>
      <c r="C96" s="47">
        <v>0.6038</v>
      </c>
      <c r="D96" s="47">
        <v>0.6038</v>
      </c>
    </row>
    <row r="97" spans="1:6">
      <c r="A97" s="7" t="s">
        <v>177</v>
      </c>
      <c r="B97" s="47">
        <v>-7.2971706645537007E-3</v>
      </c>
      <c r="C97" s="47">
        <v>-7.2971706645537007E-3</v>
      </c>
      <c r="D97" s="47">
        <v>-7.2971706645537007E-3</v>
      </c>
    </row>
    <row r="99" spans="1:6">
      <c r="A99" s="115" t="s">
        <v>178</v>
      </c>
      <c r="B99" s="116"/>
      <c r="C99" s="116"/>
      <c r="D99" s="116"/>
    </row>
    <row r="100" spans="1:6" ht="15.75">
      <c r="A100" s="7" t="s">
        <v>179</v>
      </c>
      <c r="B100" s="60">
        <v>124.3042528474452</v>
      </c>
    </row>
    <row r="101" spans="1:6">
      <c r="A101" t="s">
        <v>180</v>
      </c>
      <c r="B101" s="91">
        <v>-0.15811413025800219</v>
      </c>
    </row>
    <row r="102" spans="1:6">
      <c r="A102" t="s">
        <v>181</v>
      </c>
      <c r="B102" s="91">
        <v>-0.34101546494489088</v>
      </c>
    </row>
    <row r="103" spans="1:6">
      <c r="A103" s="7" t="s">
        <v>182</v>
      </c>
      <c r="B103" t="s">
        <v>183</v>
      </c>
    </row>
    <row r="104" spans="1:6" ht="32.1" customHeight="1">
      <c r="A104" s="126" t="s">
        <v>184</v>
      </c>
      <c r="B104" s="123"/>
      <c r="C104" s="123"/>
      <c r="D104" s="123"/>
    </row>
    <row r="107" spans="1:6" ht="15.75">
      <c r="A107" s="54" t="s">
        <v>185</v>
      </c>
    </row>
    <row r="108" spans="1:6">
      <c r="A108" s="32" t="s">
        <v>186</v>
      </c>
    </row>
    <row r="109" spans="1:6">
      <c r="A109" s="29" t="s">
        <v>187</v>
      </c>
      <c r="B109" s="61">
        <v>1.4999999999999999E-2</v>
      </c>
      <c r="C109" s="61">
        <v>0.02</v>
      </c>
      <c r="D109" s="61">
        <v>2.5000000000000001E-2</v>
      </c>
      <c r="E109" s="61">
        <v>0.03</v>
      </c>
      <c r="F109" s="61">
        <v>3.5000000000000003E-2</v>
      </c>
    </row>
    <row r="110" spans="1:6">
      <c r="A110" s="61">
        <v>0.1053</v>
      </c>
      <c r="B110" s="52">
        <v>159.61516484226831</v>
      </c>
      <c r="C110" s="52">
        <v>166.8686556962883</v>
      </c>
      <c r="D110" s="52">
        <v>175.02544553586489</v>
      </c>
      <c r="E110" s="52">
        <v>184.2654743979617</v>
      </c>
      <c r="F110" s="52">
        <v>194.8198743641974</v>
      </c>
    </row>
    <row r="111" spans="1:6">
      <c r="A111" s="61">
        <v>0.1153</v>
      </c>
      <c r="B111" s="52">
        <v>142.47685705872291</v>
      </c>
      <c r="C111" s="52">
        <v>148.11510132448109</v>
      </c>
      <c r="D111" s="52">
        <v>154.37773587437641</v>
      </c>
      <c r="E111" s="52">
        <v>161.3745597032746</v>
      </c>
      <c r="F111" s="52">
        <v>169.2427190027704</v>
      </c>
    </row>
    <row r="112" spans="1:6">
      <c r="A112" s="61">
        <v>0.12529999999999999</v>
      </c>
      <c r="B112" s="52">
        <v>128.47878319393709</v>
      </c>
      <c r="C112" s="52">
        <v>132.95619840388619</v>
      </c>
      <c r="D112" s="52">
        <v>137.8800159278878</v>
      </c>
      <c r="E112" s="52">
        <v>143.32049845965469</v>
      </c>
      <c r="F112" s="62">
        <v>149.36347075130709</v>
      </c>
    </row>
    <row r="113" spans="1:6">
      <c r="A113" s="61">
        <v>0.1353</v>
      </c>
      <c r="B113" s="52">
        <v>116.8366542589912</v>
      </c>
      <c r="C113" s="52">
        <v>120.45547477102809</v>
      </c>
      <c r="D113" s="52">
        <v>124.4023841780819</v>
      </c>
      <c r="E113" s="52">
        <v>128.72411878998409</v>
      </c>
      <c r="F113" s="52">
        <v>133.4767342206203</v>
      </c>
    </row>
    <row r="114" spans="1:6">
      <c r="A114" s="61">
        <v>0.14530000000000001</v>
      </c>
      <c r="B114" s="52">
        <v>107.006999605175</v>
      </c>
      <c r="C114" s="52">
        <v>109.97546506362011</v>
      </c>
      <c r="D114" s="52">
        <v>113.1906857555187</v>
      </c>
      <c r="E114" s="52">
        <v>116.6847634024822</v>
      </c>
      <c r="F114" s="52">
        <v>120.495620527865</v>
      </c>
    </row>
  </sheetData>
  <mergeCells count="2">
    <mergeCell ref="A99:D99"/>
    <mergeCell ref="A104:D10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53"/>
  <sheetViews>
    <sheetView workbookViewId="0">
      <selection activeCell="A2" sqref="A2"/>
    </sheetView>
  </sheetViews>
  <sheetFormatPr defaultRowHeight="15"/>
  <cols>
    <col min="1" max="1" width="20" customWidth="1"/>
    <col min="2" max="8" width="10" customWidth="1"/>
  </cols>
  <sheetData>
    <row r="1" spans="1:2" ht="17.25">
      <c r="A1" s="31" t="s">
        <v>188</v>
      </c>
    </row>
    <row r="2" spans="1:2">
      <c r="A2" s="63"/>
    </row>
    <row r="4" spans="1:2">
      <c r="A4" s="1" t="s">
        <v>189</v>
      </c>
    </row>
    <row r="5" spans="1:2" ht="18.75">
      <c r="A5" t="s">
        <v>190</v>
      </c>
      <c r="B5" s="64">
        <v>0.40620117187499999</v>
      </c>
    </row>
    <row r="6" spans="1:2">
      <c r="A6" t="s">
        <v>191</v>
      </c>
      <c r="B6" s="52">
        <v>188.63</v>
      </c>
    </row>
    <row r="8" spans="1:2">
      <c r="A8" s="1" t="s">
        <v>192</v>
      </c>
    </row>
    <row r="9" spans="1:2">
      <c r="A9" t="s">
        <v>193</v>
      </c>
      <c r="B9" s="65">
        <v>0.65473535790094783</v>
      </c>
    </row>
    <row r="10" spans="1:2">
      <c r="A10" t="s">
        <v>194</v>
      </c>
      <c r="B10" s="65">
        <v>1.016654826195531</v>
      </c>
    </row>
    <row r="11" spans="1:2">
      <c r="A11" t="s">
        <v>195</v>
      </c>
      <c r="B11" s="65">
        <v>0.85017985182846179</v>
      </c>
    </row>
    <row r="12" spans="1:2">
      <c r="A12" s="66" t="s">
        <v>196</v>
      </c>
    </row>
    <row r="14" spans="1:2">
      <c r="A14" s="67" t="s">
        <v>197</v>
      </c>
    </row>
    <row r="16" spans="1:2">
      <c r="A16" s="1" t="s">
        <v>198</v>
      </c>
    </row>
    <row r="17" spans="1:8">
      <c r="A17" t="s">
        <v>97</v>
      </c>
      <c r="B17" s="45">
        <v>0.1252682864951544</v>
      </c>
    </row>
    <row r="18" spans="1:8">
      <c r="A18" t="s">
        <v>98</v>
      </c>
      <c r="B18" s="45">
        <v>3.5000000000000003E-2</v>
      </c>
    </row>
    <row r="19" spans="1:8">
      <c r="A19" t="s">
        <v>99</v>
      </c>
      <c r="B19" s="45">
        <v>0.15117002474372571</v>
      </c>
    </row>
    <row r="20" spans="1:8">
      <c r="A20" t="s">
        <v>61</v>
      </c>
      <c r="B20" s="45">
        <v>0.60381683631412719</v>
      </c>
    </row>
    <row r="21" spans="1:8">
      <c r="A21" t="s">
        <v>101</v>
      </c>
      <c r="B21" s="45">
        <v>2.798025359130862E-2</v>
      </c>
    </row>
    <row r="22" spans="1:8">
      <c r="A22" t="s">
        <v>103</v>
      </c>
      <c r="B22" s="45">
        <v>1.3165816113884539E-2</v>
      </c>
    </row>
    <row r="24" spans="1:8">
      <c r="A24" s="1" t="s">
        <v>199</v>
      </c>
    </row>
    <row r="25" spans="1:8">
      <c r="A25" s="68" t="s">
        <v>200</v>
      </c>
    </row>
    <row r="26" spans="1:8">
      <c r="A26" s="1" t="s">
        <v>187</v>
      </c>
      <c r="B26" s="69">
        <v>0.01</v>
      </c>
      <c r="C26" s="69">
        <v>1.4999999999999999E-2</v>
      </c>
      <c r="D26" s="69">
        <v>0.02</v>
      </c>
      <c r="E26" s="69">
        <v>2.5000000000000001E-2</v>
      </c>
      <c r="F26" s="69">
        <v>0.03</v>
      </c>
      <c r="G26" s="69">
        <v>3.5000000000000003E-2</v>
      </c>
      <c r="H26" s="69">
        <v>0.04</v>
      </c>
    </row>
    <row r="27" spans="1:8">
      <c r="A27" s="69">
        <v>9.5299999999999996E-2</v>
      </c>
      <c r="B27" s="47">
        <v>0.36079101562499999</v>
      </c>
      <c r="C27" s="47">
        <v>0.34565429687499999</v>
      </c>
      <c r="D27" s="47">
        <v>0.32978515624999999</v>
      </c>
      <c r="E27" s="47">
        <v>0.31293945312499999</v>
      </c>
      <c r="F27" s="47">
        <v>0.29511718749999999</v>
      </c>
      <c r="G27" s="47">
        <v>0.27583007812499999</v>
      </c>
      <c r="H27" s="47">
        <v>0.25532226562499999</v>
      </c>
    </row>
    <row r="28" spans="1:8">
      <c r="A28" s="69">
        <v>0.1053</v>
      </c>
      <c r="B28" s="47">
        <v>0.39912109374999999</v>
      </c>
      <c r="C28" s="47">
        <v>0.38544921874999999</v>
      </c>
      <c r="D28" s="47">
        <v>0.37104492187499999</v>
      </c>
      <c r="E28" s="47">
        <v>0.35590820312499999</v>
      </c>
      <c r="F28" s="47">
        <v>0.34003906249999999</v>
      </c>
      <c r="G28" s="47">
        <v>0.32294921874999999</v>
      </c>
      <c r="H28" s="47">
        <v>0.30488281249999999</v>
      </c>
    </row>
    <row r="29" spans="1:8">
      <c r="A29" s="69">
        <v>0.1153</v>
      </c>
      <c r="B29" s="70">
        <v>0.43574218749999999</v>
      </c>
      <c r="C29" s="70">
        <v>0.42304687499999999</v>
      </c>
      <c r="D29" s="70">
        <v>0.40986328124999999</v>
      </c>
      <c r="E29" s="47">
        <v>0.39594726562499999</v>
      </c>
      <c r="F29" s="47">
        <v>0.38154296874999999</v>
      </c>
      <c r="G29" s="47">
        <v>0.36616210937499999</v>
      </c>
      <c r="H29" s="47">
        <v>0.34980468749999999</v>
      </c>
    </row>
    <row r="30" spans="1:8">
      <c r="A30" s="69">
        <v>0.12529999999999999</v>
      </c>
      <c r="B30" s="70">
        <v>0.47041015624999999</v>
      </c>
      <c r="C30" s="70">
        <v>0.45869140624999999</v>
      </c>
      <c r="D30" s="70">
        <v>0.44648437499999999</v>
      </c>
      <c r="E30" s="70">
        <v>0.43378906249999999</v>
      </c>
      <c r="F30" s="70">
        <v>0.42036132812499999</v>
      </c>
      <c r="G30" s="53">
        <v>0.40644531249999999</v>
      </c>
      <c r="H30" s="47">
        <v>0.39179687499999999</v>
      </c>
    </row>
    <row r="31" spans="1:8">
      <c r="A31" s="69">
        <v>0.1353</v>
      </c>
      <c r="B31" s="70">
        <v>0.50361328125000004</v>
      </c>
      <c r="C31" s="70">
        <v>0.49262695312499999</v>
      </c>
      <c r="D31" s="70">
        <v>0.48115234374999999</v>
      </c>
      <c r="E31" s="70">
        <v>0.46943359374999999</v>
      </c>
      <c r="F31" s="70">
        <v>0.45722656249999999</v>
      </c>
      <c r="G31" s="70">
        <v>0.44428710937499999</v>
      </c>
      <c r="H31" s="70">
        <v>0.43085937499999999</v>
      </c>
    </row>
    <row r="32" spans="1:8">
      <c r="A32" s="69">
        <v>0.14530000000000001</v>
      </c>
      <c r="B32" s="70">
        <v>0.53535156250000004</v>
      </c>
      <c r="C32" s="70">
        <v>0.52509765625000004</v>
      </c>
      <c r="D32" s="70">
        <v>0.51459960937500004</v>
      </c>
      <c r="E32" s="70">
        <v>0.50361328125000004</v>
      </c>
      <c r="F32" s="70">
        <v>0.49189453124999999</v>
      </c>
      <c r="G32" s="70">
        <v>0.48017578124999999</v>
      </c>
      <c r="H32" s="70">
        <v>0.46772460937499999</v>
      </c>
    </row>
    <row r="33" spans="1:8">
      <c r="A33" s="69">
        <v>0.15529999999999999</v>
      </c>
      <c r="B33" s="70">
        <v>0.56660156250000004</v>
      </c>
      <c r="C33" s="70">
        <v>0.55683593750000004</v>
      </c>
      <c r="D33" s="70">
        <v>0.54658203125000004</v>
      </c>
      <c r="E33" s="70">
        <v>0.53632812500000004</v>
      </c>
      <c r="F33" s="70">
        <v>0.52558593750000004</v>
      </c>
      <c r="G33" s="70">
        <v>0.51435546875000004</v>
      </c>
      <c r="H33" s="70">
        <v>0.50288085937500004</v>
      </c>
    </row>
    <row r="36" spans="1:8">
      <c r="A36" s="1" t="s">
        <v>201</v>
      </c>
    </row>
    <row r="37" spans="1:8">
      <c r="A37" s="117" t="s">
        <v>202</v>
      </c>
      <c r="B37" s="116"/>
      <c r="C37" s="116"/>
      <c r="D37" s="116"/>
      <c r="E37" s="116"/>
      <c r="F37" s="116"/>
      <c r="G37" s="116"/>
    </row>
    <row r="38" spans="1:8">
      <c r="A38" s="1" t="s">
        <v>203</v>
      </c>
      <c r="B38" s="69">
        <v>0.30620117187500012</v>
      </c>
      <c r="C38" s="69">
        <v>0.35620117187500011</v>
      </c>
      <c r="D38" s="69">
        <v>0.40620117187499999</v>
      </c>
      <c r="E38" s="69">
        <v>0.45620117187499998</v>
      </c>
      <c r="F38" s="69">
        <v>0.50620117187500002</v>
      </c>
    </row>
    <row r="39" spans="1:8">
      <c r="A39" s="69">
        <v>0.50381683631412721</v>
      </c>
      <c r="B39" s="52">
        <v>109.950066892227</v>
      </c>
      <c r="C39" s="52">
        <v>130.23116331768929</v>
      </c>
      <c r="D39" s="52">
        <v>153.52106221038051</v>
      </c>
      <c r="E39" s="52">
        <v>180.14931258050149</v>
      </c>
      <c r="F39" s="52">
        <v>210.46889633868679</v>
      </c>
    </row>
    <row r="40" spans="1:8">
      <c r="A40" s="69">
        <v>0.55381683631412715</v>
      </c>
      <c r="B40" s="52">
        <v>122.43745632473851</v>
      </c>
      <c r="C40" s="52">
        <v>145.07113147561111</v>
      </c>
      <c r="D40" s="52">
        <v>171.06889171014171</v>
      </c>
      <c r="E40" s="52">
        <v>200.79989263333309</v>
      </c>
      <c r="F40" s="52">
        <v>234.65958856662749</v>
      </c>
    </row>
    <row r="41" spans="1:8">
      <c r="A41" s="69">
        <v>0.60381683631412719</v>
      </c>
      <c r="B41" s="52">
        <v>134.92484575725001</v>
      </c>
      <c r="C41" s="52">
        <v>159.9110996335329</v>
      </c>
      <c r="D41" s="62">
        <v>188.61672120990289</v>
      </c>
      <c r="E41" s="52">
        <v>221.45047268616469</v>
      </c>
      <c r="F41" s="52">
        <v>258.85028079456828</v>
      </c>
    </row>
    <row r="42" spans="1:8">
      <c r="A42" s="69">
        <v>0.65381683631412724</v>
      </c>
      <c r="B42" s="52">
        <v>147.4122351897615</v>
      </c>
      <c r="C42" s="52">
        <v>174.75106779145469</v>
      </c>
      <c r="D42" s="52">
        <v>206.16455070966421</v>
      </c>
      <c r="E42" s="52">
        <v>242.10105273899629</v>
      </c>
      <c r="F42" s="52">
        <v>283.04097302250898</v>
      </c>
    </row>
    <row r="43" spans="1:8">
      <c r="A43" s="69">
        <v>0.70381683631412717</v>
      </c>
      <c r="B43" s="52">
        <v>159.899624622273</v>
      </c>
      <c r="C43" s="52">
        <v>189.5910359493765</v>
      </c>
      <c r="D43" s="52">
        <v>223.7123802094255</v>
      </c>
      <c r="E43" s="52">
        <v>262.75163279182789</v>
      </c>
      <c r="F43" s="52">
        <v>307.23166525044991</v>
      </c>
    </row>
    <row r="45" spans="1:8" ht="30" customHeight="1">
      <c r="A45" s="118" t="s">
        <v>419</v>
      </c>
      <c r="B45" s="116"/>
      <c r="C45" s="116"/>
      <c r="D45" s="116"/>
      <c r="E45" s="116"/>
      <c r="F45" s="116"/>
      <c r="G45" s="116"/>
    </row>
    <row r="48" spans="1:8">
      <c r="A48" s="1" t="s">
        <v>204</v>
      </c>
    </row>
    <row r="49" spans="1:4" ht="30" customHeight="1">
      <c r="A49" s="117" t="s">
        <v>205</v>
      </c>
      <c r="B49" s="116"/>
      <c r="C49" s="116"/>
      <c r="D49" s="116"/>
    </row>
    <row r="50" spans="1:4">
      <c r="A50" t="s">
        <v>206</v>
      </c>
      <c r="B50" s="45">
        <v>0.1252682864951544</v>
      </c>
    </row>
    <row r="51" spans="1:4">
      <c r="A51" t="s">
        <v>207</v>
      </c>
      <c r="B51" s="53">
        <v>0.1065478515625</v>
      </c>
    </row>
    <row r="52" spans="1:4">
      <c r="A52" t="s">
        <v>208</v>
      </c>
      <c r="B52" s="98">
        <v>1.8720434932654361E-2</v>
      </c>
    </row>
    <row r="53" spans="1:4" ht="30" customHeight="1">
      <c r="A53" s="124" t="s">
        <v>418</v>
      </c>
      <c r="B53" s="125"/>
      <c r="C53" s="125"/>
      <c r="D53" s="125"/>
    </row>
  </sheetData>
  <mergeCells count="3">
    <mergeCell ref="A49:D49"/>
    <mergeCell ref="A45:G45"/>
    <mergeCell ref="A37:G37"/>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1"/>
  <sheetViews>
    <sheetView workbookViewId="0"/>
  </sheetViews>
  <sheetFormatPr defaultRowHeight="15"/>
  <cols>
    <col min="1" max="1" width="42" customWidth="1"/>
    <col min="2" max="2" width="45" customWidth="1"/>
    <col min="3" max="3" width="18" customWidth="1"/>
  </cols>
  <sheetData>
    <row r="1" spans="1:3" ht="17.25">
      <c r="A1" s="31" t="s">
        <v>209</v>
      </c>
    </row>
    <row r="3" spans="1:3">
      <c r="A3" s="43" t="s">
        <v>210</v>
      </c>
      <c r="B3" s="44"/>
      <c r="C3" s="44"/>
    </row>
    <row r="4" spans="1:3">
      <c r="A4" s="32" t="s">
        <v>211</v>
      </c>
    </row>
    <row r="5" spans="1:3">
      <c r="A5" s="32" t="s">
        <v>212</v>
      </c>
    </row>
    <row r="6" spans="1:3">
      <c r="A6" s="32" t="s">
        <v>213</v>
      </c>
    </row>
    <row r="7" spans="1:3">
      <c r="A7" s="32" t="s">
        <v>214</v>
      </c>
    </row>
    <row r="9" spans="1:3">
      <c r="A9" s="43" t="s">
        <v>215</v>
      </c>
      <c r="B9" s="44"/>
      <c r="C9" s="44"/>
    </row>
    <row r="10" spans="1:3">
      <c r="A10" s="40" t="s">
        <v>216</v>
      </c>
      <c r="B10" s="71">
        <v>147.29230454863759</v>
      </c>
    </row>
    <row r="11" spans="1:3">
      <c r="A11" s="40" t="s">
        <v>217</v>
      </c>
      <c r="B11" s="71">
        <v>146.1620344727958</v>
      </c>
    </row>
    <row r="12" spans="1:3">
      <c r="A12" s="40" t="s">
        <v>218</v>
      </c>
      <c r="B12" s="71">
        <v>28.560636026732261</v>
      </c>
    </row>
    <row r="14" spans="1:3">
      <c r="A14" s="43" t="s">
        <v>219</v>
      </c>
      <c r="B14" s="44"/>
      <c r="C14" s="44"/>
    </row>
    <row r="15" spans="1:3">
      <c r="A15" s="72" t="s">
        <v>220</v>
      </c>
      <c r="B15" s="72" t="s">
        <v>221</v>
      </c>
      <c r="C15" s="72" t="s">
        <v>222</v>
      </c>
    </row>
    <row r="16" spans="1:3">
      <c r="A16" s="40" t="s">
        <v>223</v>
      </c>
      <c r="B16" s="52">
        <v>102.0966530814668</v>
      </c>
      <c r="C16" s="92">
        <v>-0.45874647149728648</v>
      </c>
    </row>
    <row r="17" spans="1:3">
      <c r="A17" s="40" t="s">
        <v>224</v>
      </c>
      <c r="B17" s="52">
        <v>126.9930404408053</v>
      </c>
      <c r="C17" s="92">
        <v>-0.32676117032918811</v>
      </c>
    </row>
    <row r="18" spans="1:3">
      <c r="A18" s="40" t="s">
        <v>225</v>
      </c>
      <c r="B18" s="73">
        <v>146.1620344727958</v>
      </c>
      <c r="C18" s="92">
        <v>-0.22513897856758841</v>
      </c>
    </row>
    <row r="19" spans="1:3">
      <c r="A19" s="40" t="s">
        <v>226</v>
      </c>
      <c r="B19" s="52">
        <v>165.74365737891441</v>
      </c>
      <c r="C19" s="92">
        <v>-0.12132928283457339</v>
      </c>
    </row>
    <row r="20" spans="1:3">
      <c r="A20" s="40" t="s">
        <v>227</v>
      </c>
      <c r="B20" s="52">
        <v>197.2643568457467</v>
      </c>
      <c r="C20" s="97">
        <v>4.5774038306455767E-2</v>
      </c>
    </row>
    <row r="22" spans="1:3">
      <c r="A22" s="43" t="s">
        <v>228</v>
      </c>
      <c r="B22" s="44"/>
      <c r="C22" s="44"/>
    </row>
    <row r="23" spans="1:3">
      <c r="A23" s="40" t="s">
        <v>229</v>
      </c>
      <c r="B23" s="52">
        <v>188.63</v>
      </c>
    </row>
    <row r="24" spans="1:3" ht="15.75">
      <c r="A24" s="1" t="s">
        <v>230</v>
      </c>
      <c r="B24" s="74">
        <v>8.2000000000000003E-2</v>
      </c>
      <c r="C24" s="32" t="s">
        <v>231</v>
      </c>
    </row>
    <row r="26" spans="1:3">
      <c r="A26" s="43" t="s">
        <v>232</v>
      </c>
      <c r="B26" s="44"/>
      <c r="C26" s="44"/>
    </row>
    <row r="27" spans="1:3">
      <c r="A27" s="40" t="s">
        <v>233</v>
      </c>
      <c r="B27" s="75">
        <v>86.629651853328085</v>
      </c>
    </row>
    <row r="28" spans="1:3">
      <c r="A28" s="40" t="s">
        <v>234</v>
      </c>
      <c r="B28" s="76">
        <v>147.64976740319821</v>
      </c>
    </row>
    <row r="29" spans="1:3">
      <c r="A29" s="40" t="s">
        <v>235</v>
      </c>
      <c r="B29" s="62">
        <v>208.45195715977351</v>
      </c>
    </row>
    <row r="31" spans="1:3">
      <c r="A31" s="43" t="s">
        <v>236</v>
      </c>
      <c r="B31" s="44"/>
      <c r="C31" s="44"/>
    </row>
    <row r="32" spans="1:3">
      <c r="A32" s="77" t="s">
        <v>237</v>
      </c>
      <c r="B32" s="78" t="s">
        <v>238</v>
      </c>
      <c r="C32" s="79" t="s">
        <v>239</v>
      </c>
    </row>
    <row r="33" spans="1:3">
      <c r="A33" s="77" t="s">
        <v>240</v>
      </c>
      <c r="B33" s="78" t="s">
        <v>241</v>
      </c>
      <c r="C33" s="79" t="s">
        <v>242</v>
      </c>
    </row>
    <row r="34" spans="1:3">
      <c r="A34" s="77" t="s">
        <v>243</v>
      </c>
      <c r="B34" s="78" t="s">
        <v>244</v>
      </c>
      <c r="C34" s="79" t="s">
        <v>245</v>
      </c>
    </row>
    <row r="35" spans="1:3">
      <c r="A35" s="77" t="s">
        <v>246</v>
      </c>
      <c r="B35" s="78" t="s">
        <v>247</v>
      </c>
      <c r="C35" s="79" t="s">
        <v>248</v>
      </c>
    </row>
    <row r="36" spans="1:3">
      <c r="A36" s="77" t="s">
        <v>249</v>
      </c>
      <c r="B36" s="78" t="s">
        <v>250</v>
      </c>
      <c r="C36" s="79" t="s">
        <v>251</v>
      </c>
    </row>
    <row r="37" spans="1:3">
      <c r="A37" s="77" t="s">
        <v>252</v>
      </c>
      <c r="B37" s="78" t="s">
        <v>253</v>
      </c>
      <c r="C37" s="79" t="s">
        <v>254</v>
      </c>
    </row>
    <row r="38" spans="1:3">
      <c r="A38" s="77" t="s">
        <v>255</v>
      </c>
      <c r="B38" s="78" t="s">
        <v>256</v>
      </c>
      <c r="C38" s="79" t="s">
        <v>257</v>
      </c>
    </row>
    <row r="39" spans="1:3">
      <c r="A39" s="77" t="s">
        <v>258</v>
      </c>
      <c r="B39" s="78" t="s">
        <v>259</v>
      </c>
      <c r="C39" s="79" t="s">
        <v>260</v>
      </c>
    </row>
    <row r="40" spans="1:3">
      <c r="A40" s="77" t="s">
        <v>261</v>
      </c>
      <c r="B40" s="78" t="s">
        <v>262</v>
      </c>
      <c r="C40" s="79" t="s">
        <v>263</v>
      </c>
    </row>
    <row r="41" spans="1:3">
      <c r="A41" s="77" t="s">
        <v>264</v>
      </c>
      <c r="B41" s="78" t="s">
        <v>256</v>
      </c>
      <c r="C41" s="79" t="s">
        <v>257</v>
      </c>
    </row>
    <row r="42" spans="1:3">
      <c r="A42" s="77" t="s">
        <v>265</v>
      </c>
      <c r="B42" s="78" t="s">
        <v>266</v>
      </c>
      <c r="C42" s="79" t="s">
        <v>267</v>
      </c>
    </row>
    <row r="43" spans="1:3">
      <c r="A43" s="77" t="s">
        <v>268</v>
      </c>
      <c r="B43" s="78" t="s">
        <v>269</v>
      </c>
      <c r="C43" s="79" t="s">
        <v>270</v>
      </c>
    </row>
    <row r="44" spans="1:3">
      <c r="A44" s="77" t="s">
        <v>271</v>
      </c>
      <c r="B44" s="78" t="s">
        <v>272</v>
      </c>
      <c r="C44" s="79" t="s">
        <v>273</v>
      </c>
    </row>
    <row r="45" spans="1:3">
      <c r="A45" s="77" t="s">
        <v>274</v>
      </c>
      <c r="B45" s="78" t="s">
        <v>275</v>
      </c>
      <c r="C45" s="79" t="s">
        <v>276</v>
      </c>
    </row>
    <row r="46" spans="1:3">
      <c r="A46" s="77" t="s">
        <v>277</v>
      </c>
      <c r="B46" s="78" t="s">
        <v>278</v>
      </c>
      <c r="C46" s="79" t="s">
        <v>279</v>
      </c>
    </row>
    <row r="47" spans="1:3">
      <c r="A47" s="77" t="s">
        <v>280</v>
      </c>
      <c r="B47" s="78" t="s">
        <v>281</v>
      </c>
      <c r="C47" s="79" t="s">
        <v>282</v>
      </c>
    </row>
    <row r="48" spans="1:3">
      <c r="A48" s="77" t="s">
        <v>283</v>
      </c>
      <c r="B48" s="78" t="s">
        <v>238</v>
      </c>
      <c r="C48" s="79" t="s">
        <v>284</v>
      </c>
    </row>
    <row r="49" spans="1:3">
      <c r="A49" s="77" t="s">
        <v>285</v>
      </c>
      <c r="B49" s="78"/>
      <c r="C49" s="79" t="s">
        <v>286</v>
      </c>
    </row>
    <row r="50" spans="1:3">
      <c r="A50" s="77" t="s">
        <v>287</v>
      </c>
      <c r="B50" s="78"/>
      <c r="C50" s="79" t="s">
        <v>286</v>
      </c>
    </row>
    <row r="51" spans="1:3">
      <c r="A51" s="77" t="s">
        <v>288</v>
      </c>
      <c r="B51" s="78"/>
      <c r="C51" s="79" t="s">
        <v>289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7"/>
  <sheetViews>
    <sheetView workbookViewId="0">
      <selection activeCell="L5" sqref="L5"/>
    </sheetView>
  </sheetViews>
  <sheetFormatPr defaultRowHeight="15"/>
  <cols>
    <col min="1" max="1" width="8" customWidth="1"/>
    <col min="2" max="2" width="25" customWidth="1"/>
    <col min="3" max="3" width="14" customWidth="1"/>
    <col min="4" max="4" width="10" customWidth="1"/>
    <col min="5" max="7" width="12" customWidth="1"/>
    <col min="8" max="11" width="10" customWidth="1"/>
    <col min="12" max="15" width="12" customWidth="1"/>
    <col min="16" max="17" width="10" customWidth="1"/>
  </cols>
  <sheetData>
    <row r="1" spans="1:17" ht="17.25">
      <c r="A1" s="31" t="s">
        <v>290</v>
      </c>
    </row>
    <row r="3" spans="1:17">
      <c r="A3" s="1" t="s">
        <v>291</v>
      </c>
      <c r="B3" s="1" t="s">
        <v>292</v>
      </c>
      <c r="C3" s="1" t="s">
        <v>293</v>
      </c>
      <c r="D3" s="1" t="s">
        <v>294</v>
      </c>
      <c r="E3" s="1" t="s">
        <v>295</v>
      </c>
      <c r="F3" s="1" t="s">
        <v>296</v>
      </c>
      <c r="G3" s="1" t="s">
        <v>297</v>
      </c>
      <c r="H3" s="1" t="s">
        <v>298</v>
      </c>
      <c r="I3" s="1" t="s">
        <v>299</v>
      </c>
      <c r="J3" s="1" t="s">
        <v>300</v>
      </c>
      <c r="K3" s="1" t="s">
        <v>301</v>
      </c>
      <c r="L3" s="1" t="s">
        <v>302</v>
      </c>
      <c r="M3" s="1" t="s">
        <v>36</v>
      </c>
      <c r="N3" s="1" t="s">
        <v>303</v>
      </c>
      <c r="O3" s="1" t="s">
        <v>62</v>
      </c>
      <c r="P3" s="1" t="s">
        <v>304</v>
      </c>
      <c r="Q3" s="1" t="s">
        <v>305</v>
      </c>
    </row>
    <row r="4" spans="1:17">
      <c r="A4" t="s">
        <v>306</v>
      </c>
      <c r="B4" t="s">
        <v>307</v>
      </c>
      <c r="C4" s="93">
        <v>1761.6201318400001</v>
      </c>
      <c r="D4" s="52">
        <v>371.55</v>
      </c>
      <c r="E4" s="94">
        <v>72.426895000000002</v>
      </c>
      <c r="F4" s="94">
        <v>20.827294999999999</v>
      </c>
      <c r="G4" s="94">
        <v>48.661000000000001</v>
      </c>
      <c r="I4" s="94">
        <v>26.523</v>
      </c>
      <c r="J4" s="94">
        <v>22.030832</v>
      </c>
      <c r="L4" s="47">
        <v>0.29499999999999998</v>
      </c>
      <c r="M4" s="47">
        <v>0.76725995999999996</v>
      </c>
      <c r="N4" s="47">
        <v>0.44943001999999999</v>
      </c>
      <c r="O4" s="47">
        <v>0.36571997000000001</v>
      </c>
      <c r="P4" s="47">
        <v>0.33370999000000001</v>
      </c>
      <c r="Q4" s="47">
        <v>0.7</v>
      </c>
    </row>
    <row r="5" spans="1:17">
      <c r="A5" t="s">
        <v>308</v>
      </c>
      <c r="B5" t="s">
        <v>309</v>
      </c>
      <c r="C5" s="93">
        <v>1922.1187133440001</v>
      </c>
      <c r="D5" s="52">
        <v>370.6</v>
      </c>
      <c r="E5" s="94">
        <v>35.464115</v>
      </c>
      <c r="F5" s="94">
        <v>20.295604999999998</v>
      </c>
      <c r="G5" s="94">
        <v>2.927</v>
      </c>
      <c r="I5" s="94">
        <v>2.0089999999999999</v>
      </c>
      <c r="J5" s="94">
        <v>56.689610000000002</v>
      </c>
      <c r="L5" s="47">
        <v>0.20499999999999999</v>
      </c>
      <c r="M5" s="47">
        <v>0.59891000000000005</v>
      </c>
      <c r="N5" s="47">
        <v>0.53915999999999997</v>
      </c>
      <c r="O5" s="47">
        <v>0.45099998000000002</v>
      </c>
      <c r="P5" s="47">
        <v>0.35064000000000001</v>
      </c>
      <c r="Q5" s="47">
        <v>0.95</v>
      </c>
    </row>
    <row r="6" spans="1:17">
      <c r="A6" t="s">
        <v>310</v>
      </c>
      <c r="B6" t="s">
        <v>311</v>
      </c>
      <c r="C6" s="93">
        <v>474.31365427200001</v>
      </c>
      <c r="D6" s="52">
        <v>420.59</v>
      </c>
      <c r="E6" s="94">
        <v>19.83915</v>
      </c>
      <c r="F6" s="94">
        <v>4.2846149999999996</v>
      </c>
      <c r="G6" s="94">
        <v>12.785</v>
      </c>
      <c r="I6" s="94">
        <v>8.0960000000000001</v>
      </c>
      <c r="J6" s="94">
        <v>6.5474724999999996</v>
      </c>
      <c r="L6" s="47">
        <v>1.9630000000000001</v>
      </c>
      <c r="M6" s="47">
        <v>0.58436999999999995</v>
      </c>
      <c r="N6" s="47">
        <v>0.67623999999999995</v>
      </c>
      <c r="O6" s="47">
        <v>0.41486000000000001</v>
      </c>
      <c r="P6" s="47">
        <v>0.39823002000000002</v>
      </c>
      <c r="Q6" s="47">
        <v>0.14000000000000001</v>
      </c>
    </row>
    <row r="7" spans="1:17">
      <c r="A7" s="7" t="s">
        <v>312</v>
      </c>
      <c r="E7" s="95">
        <v>35.464115</v>
      </c>
      <c r="F7" s="95">
        <v>20.295604999999998</v>
      </c>
      <c r="G7" s="95">
        <v>12.785</v>
      </c>
      <c r="I7" s="95">
        <v>8.0960000000000001</v>
      </c>
      <c r="J7" s="95">
        <v>22.030832</v>
      </c>
      <c r="L7" s="80">
        <v>0.29499999999999998</v>
      </c>
      <c r="M7" s="80">
        <v>0.59891000000000005</v>
      </c>
      <c r="N7" s="80">
        <v>0.53915999999999997</v>
      </c>
      <c r="O7" s="80">
        <v>0.41486000000000001</v>
      </c>
      <c r="P7" s="80">
        <v>0.35064000000000001</v>
      </c>
      <c r="Q7" s="80">
        <v>0.7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64"/>
  <sheetViews>
    <sheetView topLeftCell="A16" workbookViewId="0">
      <selection activeCell="E60" sqref="E60"/>
    </sheetView>
  </sheetViews>
  <sheetFormatPr defaultRowHeight="15"/>
  <cols>
    <col min="1" max="1" width="36.7109375" bestFit="1" customWidth="1"/>
    <col min="2" max="7" width="14" customWidth="1"/>
  </cols>
  <sheetData>
    <row r="1" spans="1:2" ht="17.25">
      <c r="A1" s="31" t="s">
        <v>313</v>
      </c>
    </row>
    <row r="2" spans="1:2">
      <c r="A2" s="63" t="s">
        <v>314</v>
      </c>
    </row>
    <row r="4" spans="1:2">
      <c r="A4" s="1" t="s">
        <v>315</v>
      </c>
    </row>
    <row r="5" spans="1:2">
      <c r="A5" t="s">
        <v>316</v>
      </c>
      <c r="B5" s="52">
        <v>7.62</v>
      </c>
    </row>
    <row r="6" spans="1:2">
      <c r="A6" t="s">
        <v>317</v>
      </c>
      <c r="B6" s="52">
        <v>3.38</v>
      </c>
    </row>
    <row r="7" spans="1:2">
      <c r="A7" t="s">
        <v>318</v>
      </c>
      <c r="B7" s="49">
        <v>208140.71</v>
      </c>
    </row>
    <row r="8" spans="1:2">
      <c r="A8" t="s">
        <v>319</v>
      </c>
      <c r="B8" s="49">
        <v>205297.71</v>
      </c>
    </row>
    <row r="9" spans="1:2">
      <c r="A9" t="s">
        <v>320</v>
      </c>
      <c r="B9" s="49">
        <v>323907</v>
      </c>
    </row>
    <row r="10" spans="1:2">
      <c r="A10" t="s">
        <v>321</v>
      </c>
      <c r="B10" s="49">
        <v>96676</v>
      </c>
    </row>
    <row r="11" spans="1:2">
      <c r="A11" t="s">
        <v>322</v>
      </c>
      <c r="B11" s="47">
        <v>0.02</v>
      </c>
    </row>
    <row r="12" spans="1:2">
      <c r="A12" t="s">
        <v>323</v>
      </c>
      <c r="B12" s="93">
        <v>24483</v>
      </c>
    </row>
    <row r="13" spans="1:2">
      <c r="A13" t="s">
        <v>41</v>
      </c>
      <c r="B13" s="49">
        <v>10605</v>
      </c>
    </row>
    <row r="14" spans="1:2">
      <c r="A14" t="s">
        <v>51</v>
      </c>
      <c r="B14" s="49">
        <v>8468</v>
      </c>
    </row>
    <row r="15" spans="1:2">
      <c r="A15" t="s">
        <v>324</v>
      </c>
      <c r="B15" s="49">
        <v>157293</v>
      </c>
    </row>
    <row r="16" spans="1:2">
      <c r="A16" t="s">
        <v>325</v>
      </c>
      <c r="B16" s="52">
        <v>6.42</v>
      </c>
    </row>
    <row r="17" spans="1:3">
      <c r="A17" t="s">
        <v>326</v>
      </c>
      <c r="B17" s="81">
        <v>29.36</v>
      </c>
    </row>
    <row r="18" spans="1:3">
      <c r="A18" t="s">
        <v>327</v>
      </c>
      <c r="B18" s="49">
        <v>21403</v>
      </c>
    </row>
    <row r="19" spans="1:3">
      <c r="A19" t="s">
        <v>328</v>
      </c>
      <c r="B19" s="94">
        <v>2.92</v>
      </c>
    </row>
    <row r="20" spans="1:3">
      <c r="A20" t="s">
        <v>329</v>
      </c>
      <c r="B20" s="49">
        <v>125.04</v>
      </c>
    </row>
    <row r="22" spans="1:3">
      <c r="A22" s="1" t="s">
        <v>330</v>
      </c>
    </row>
    <row r="23" spans="1:3">
      <c r="A23" t="s">
        <v>331</v>
      </c>
      <c r="B23" s="47">
        <v>0.55600000000000005</v>
      </c>
    </row>
    <row r="24" spans="1:3">
      <c r="A24" t="s">
        <v>332</v>
      </c>
      <c r="B24" s="81">
        <v>1.0442</v>
      </c>
    </row>
    <row r="25" spans="1:3">
      <c r="A25" t="s">
        <v>333</v>
      </c>
      <c r="B25" s="81">
        <v>1.3148</v>
      </c>
    </row>
    <row r="26" spans="1:3">
      <c r="A26" t="s">
        <v>334</v>
      </c>
      <c r="B26" s="53">
        <v>0.76329999999999998</v>
      </c>
    </row>
    <row r="28" spans="1:3">
      <c r="A28" s="1" t="s">
        <v>335</v>
      </c>
      <c r="B28" s="21" t="s">
        <v>336</v>
      </c>
    </row>
    <row r="29" spans="1:3">
      <c r="A29" t="s">
        <v>337</v>
      </c>
      <c r="B29" s="47">
        <v>0.69289999999999996</v>
      </c>
      <c r="C29" s="82" t="s">
        <v>338</v>
      </c>
    </row>
    <row r="30" spans="1:3">
      <c r="A30" t="s">
        <v>339</v>
      </c>
      <c r="B30" s="47">
        <v>0.1961</v>
      </c>
      <c r="C30" s="82" t="s">
        <v>340</v>
      </c>
    </row>
    <row r="31" spans="1:3">
      <c r="A31" t="s">
        <v>341</v>
      </c>
      <c r="B31" s="47">
        <v>9.11E-2</v>
      </c>
      <c r="C31" s="82" t="s">
        <v>281</v>
      </c>
    </row>
    <row r="32" spans="1:3">
      <c r="A32" t="s">
        <v>342</v>
      </c>
      <c r="B32" s="47">
        <v>1.9900000000000001E-2</v>
      </c>
      <c r="C32" s="82"/>
    </row>
    <row r="34" spans="1:7">
      <c r="A34" s="7" t="s">
        <v>343</v>
      </c>
      <c r="B34" s="7" t="s">
        <v>344</v>
      </c>
    </row>
    <row r="36" spans="1:7">
      <c r="A36" s="1" t="s">
        <v>345</v>
      </c>
      <c r="B36" s="21" t="s">
        <v>336</v>
      </c>
    </row>
    <row r="37" spans="1:7">
      <c r="A37" s="83" t="s">
        <v>346</v>
      </c>
    </row>
    <row r="38" spans="1:7">
      <c r="A38" t="s">
        <v>347</v>
      </c>
    </row>
    <row r="39" spans="1:7">
      <c r="A39" t="s">
        <v>348</v>
      </c>
    </row>
    <row r="41" spans="1:7" ht="25.5" customHeight="1">
      <c r="A41" s="119" t="s">
        <v>420</v>
      </c>
      <c r="B41" s="116"/>
      <c r="C41" s="116"/>
      <c r="D41" s="116"/>
      <c r="E41" s="116"/>
      <c r="F41" s="116"/>
      <c r="G41" s="116"/>
    </row>
    <row r="43" spans="1:7">
      <c r="A43" s="1" t="s">
        <v>349</v>
      </c>
    </row>
    <row r="44" spans="1:7">
      <c r="A44" s="1" t="s">
        <v>350</v>
      </c>
      <c r="B44" s="1" t="s">
        <v>351</v>
      </c>
      <c r="C44" s="1" t="s">
        <v>352</v>
      </c>
      <c r="D44" s="1" t="s">
        <v>353</v>
      </c>
      <c r="E44" s="1" t="s">
        <v>354</v>
      </c>
      <c r="F44" s="1" t="s">
        <v>355</v>
      </c>
      <c r="G44" s="1" t="s">
        <v>356</v>
      </c>
    </row>
    <row r="45" spans="1:7">
      <c r="A45" t="s">
        <v>296</v>
      </c>
      <c r="B45" s="96">
        <v>17.703200750000001</v>
      </c>
      <c r="C45" s="96">
        <v>20.827294999999999</v>
      </c>
      <c r="D45" s="96">
        <v>23.951389249999998</v>
      </c>
      <c r="E45" s="84">
        <f>$B$5*B45</f>
        <v>134.89838971500001</v>
      </c>
      <c r="F45" s="84">
        <f>$B$5*C45</f>
        <v>158.70398789999999</v>
      </c>
      <c r="G45" s="84">
        <f>$B$5*D45</f>
        <v>182.509586085</v>
      </c>
    </row>
    <row r="46" spans="1:7">
      <c r="A46" t="s">
        <v>297</v>
      </c>
      <c r="B46" s="96">
        <v>10.86725</v>
      </c>
      <c r="C46" s="96">
        <v>12.785</v>
      </c>
      <c r="D46" s="96">
        <v>14.70275</v>
      </c>
      <c r="E46" s="84">
        <f>IF($B$12&lt;&gt;0,($B$7*B46-$B$14+$B$13)/$B$12,0)</f>
        <v>92.474538690009396</v>
      </c>
      <c r="F46" s="84">
        <f>IF($B$12&lt;&gt;0,($B$7*C46-$B$14+$B$13)/$B$12,0)</f>
        <v>108.77817168443408</v>
      </c>
      <c r="G46" s="84">
        <f>IF($B$12&lt;&gt;0,($B$7*D46-$B$14+$B$13)/$B$12,0)</f>
        <v>125.08180467885879</v>
      </c>
    </row>
    <row r="47" spans="1:7">
      <c r="A47" t="s">
        <v>357</v>
      </c>
      <c r="B47" s="96">
        <v>11.01774165307299</v>
      </c>
      <c r="C47" s="96">
        <v>12.96204900361529</v>
      </c>
      <c r="D47" s="96">
        <v>14.90635635415758</v>
      </c>
      <c r="E47" s="84">
        <f>IF($B$12&lt;&gt;0,($B$8*B47-$B$14+$B$13)/$B$12,0)</f>
        <v>92.474538690009368</v>
      </c>
      <c r="F47" s="84">
        <f>IF($B$12&lt;&gt;0,($B$8*C47-$B$14+$B$13)/$B$12,0)</f>
        <v>108.77817168443413</v>
      </c>
      <c r="G47" s="84">
        <f>IF($B$12&lt;&gt;0,($B$8*D47-$B$14+$B$13)/$B$12,0)</f>
        <v>125.08180467885882</v>
      </c>
    </row>
    <row r="48" spans="1:7">
      <c r="A48" t="s">
        <v>358</v>
      </c>
      <c r="B48" s="96">
        <v>6.8815999999999997</v>
      </c>
      <c r="C48" s="96">
        <v>8.0960000000000001</v>
      </c>
      <c r="D48" s="96">
        <v>9.3103999999999996</v>
      </c>
      <c r="E48" s="84">
        <f>IF($B$12&lt;&gt;0,($B$9*B48-$B$14+$B$13)/$B$12,0)</f>
        <v>91.12998452803987</v>
      </c>
      <c r="F48" s="84">
        <f>IF($B$12&lt;&gt;0,($B$9*C48-$B$14+$B$13)/$B$12,0)</f>
        <v>107.1963432585876</v>
      </c>
      <c r="G48" s="84">
        <f>IF($B$12&lt;&gt;0,($B$9*D48-$B$14+$B$13)/$B$12,0)</f>
        <v>123.26270198913531</v>
      </c>
    </row>
    <row r="50" spans="1:7">
      <c r="A50" t="s">
        <v>165</v>
      </c>
      <c r="B50" s="85">
        <v>188.63</v>
      </c>
    </row>
    <row r="51" spans="1:7">
      <c r="A51" s="1" t="s">
        <v>359</v>
      </c>
    </row>
    <row r="52" spans="1:7">
      <c r="A52" t="s">
        <v>296</v>
      </c>
      <c r="B52" s="86">
        <f>IF(B50&lt;&gt;0,F45/B50-1,0)</f>
        <v>-0.15864927158988495</v>
      </c>
    </row>
    <row r="53" spans="1:7">
      <c r="A53" t="s">
        <v>297</v>
      </c>
      <c r="B53" s="86">
        <f>IF(B50&lt;&gt;0,F46/B50-1,0)</f>
        <v>-0.42332517794394275</v>
      </c>
    </row>
    <row r="54" spans="1:7">
      <c r="A54" t="s">
        <v>357</v>
      </c>
      <c r="B54" s="86">
        <f>IF(B50&lt;&gt;0,F47/B50-1,0)</f>
        <v>-0.42332517794394253</v>
      </c>
    </row>
    <row r="55" spans="1:7">
      <c r="A55" t="s">
        <v>358</v>
      </c>
      <c r="B55" s="86">
        <f>IF(B50&lt;&gt;0,F48/B50-1,0)</f>
        <v>-0.43171105731544501</v>
      </c>
    </row>
    <row r="57" spans="1:7">
      <c r="A57" s="1" t="s">
        <v>360</v>
      </c>
    </row>
    <row r="58" spans="1:7">
      <c r="A58" t="s">
        <v>361</v>
      </c>
      <c r="B58" s="62">
        <f>MIN(E45,E46,E47,E48)</f>
        <v>91.12998452803987</v>
      </c>
    </row>
    <row r="59" spans="1:7">
      <c r="A59" t="s">
        <v>362</v>
      </c>
      <c r="B59" s="62">
        <f>AVERAGE(F45,F46,F47,F48)</f>
        <v>120.86416863186395</v>
      </c>
    </row>
    <row r="60" spans="1:7">
      <c r="A60" t="s">
        <v>363</v>
      </c>
      <c r="B60" s="62">
        <f>MAX(G45,G46,G47,G48)</f>
        <v>182.509586085</v>
      </c>
    </row>
    <row r="62" spans="1:7">
      <c r="A62" s="1" t="s">
        <v>364</v>
      </c>
    </row>
    <row r="63" spans="1:7">
      <c r="A63" t="s">
        <v>365</v>
      </c>
      <c r="B63" s="87" t="s">
        <v>297</v>
      </c>
    </row>
    <row r="64" spans="1:7" ht="26.1" customHeight="1">
      <c r="A64" s="120" t="s">
        <v>366</v>
      </c>
      <c r="B64" s="116"/>
      <c r="C64" s="116"/>
      <c r="D64" s="116"/>
      <c r="E64" s="116"/>
      <c r="F64" s="116"/>
      <c r="G64" s="116"/>
    </row>
  </sheetData>
  <mergeCells count="2">
    <mergeCell ref="A41:G41"/>
    <mergeCell ref="A64:G64"/>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42"/>
  <sheetViews>
    <sheetView tabSelected="1" workbookViewId="0">
      <selection activeCell="J31" sqref="J31"/>
    </sheetView>
  </sheetViews>
  <sheetFormatPr defaultRowHeight="15"/>
  <cols>
    <col min="1" max="1" width="32" customWidth="1"/>
    <col min="2" max="3" width="16" customWidth="1"/>
    <col min="4" max="5" width="12" customWidth="1"/>
    <col min="6" max="6" width="18" customWidth="1"/>
    <col min="7" max="7" width="40" customWidth="1"/>
  </cols>
  <sheetData>
    <row r="1" spans="1:7" ht="17.25">
      <c r="A1" s="31" t="s">
        <v>367</v>
      </c>
    </row>
    <row r="2" spans="1:7">
      <c r="A2" s="99" t="s">
        <v>368</v>
      </c>
    </row>
    <row r="4" spans="1:7">
      <c r="A4" s="100" t="s">
        <v>369</v>
      </c>
      <c r="B4" s="101"/>
      <c r="C4" s="101"/>
      <c r="D4" s="101"/>
      <c r="E4" s="101"/>
      <c r="F4" s="101"/>
      <c r="G4" s="101"/>
    </row>
    <row r="5" spans="1:7">
      <c r="A5" s="102" t="s">
        <v>370</v>
      </c>
      <c r="B5" s="102" t="s">
        <v>371</v>
      </c>
      <c r="C5" s="102" t="s">
        <v>372</v>
      </c>
      <c r="D5" s="102" t="s">
        <v>373</v>
      </c>
      <c r="E5" s="102"/>
      <c r="F5" s="102"/>
      <c r="G5" s="102" t="s">
        <v>374</v>
      </c>
    </row>
    <row r="6" spans="1:7">
      <c r="A6" s="7" t="s">
        <v>375</v>
      </c>
      <c r="B6" s="103">
        <v>0.75</v>
      </c>
      <c r="C6" t="s">
        <v>376</v>
      </c>
      <c r="D6" t="s">
        <v>377</v>
      </c>
      <c r="G6" t="s">
        <v>378</v>
      </c>
    </row>
    <row r="7" spans="1:7">
      <c r="A7" s="7" t="s">
        <v>379</v>
      </c>
      <c r="B7" s="103">
        <v>0.87</v>
      </c>
      <c r="C7" t="s">
        <v>380</v>
      </c>
      <c r="D7" t="s">
        <v>377</v>
      </c>
      <c r="G7" t="s">
        <v>381</v>
      </c>
    </row>
    <row r="8" spans="1:7">
      <c r="A8" s="7" t="s">
        <v>382</v>
      </c>
      <c r="B8" s="103">
        <v>0.75</v>
      </c>
      <c r="C8" t="s">
        <v>383</v>
      </c>
      <c r="D8" t="s">
        <v>384</v>
      </c>
      <c r="G8" t="s">
        <v>385</v>
      </c>
    </row>
    <row r="9" spans="1:7">
      <c r="A9" s="7" t="s">
        <v>386</v>
      </c>
      <c r="B9" s="103">
        <v>0.6</v>
      </c>
      <c r="C9" t="s">
        <v>387</v>
      </c>
      <c r="D9" t="s">
        <v>388</v>
      </c>
      <c r="G9" t="s">
        <v>389</v>
      </c>
    </row>
    <row r="10" spans="1:7">
      <c r="A10" s="7" t="s">
        <v>390</v>
      </c>
      <c r="B10" s="103">
        <v>0.85</v>
      </c>
      <c r="C10" t="s">
        <v>391</v>
      </c>
      <c r="D10" t="s">
        <v>392</v>
      </c>
      <c r="G10" t="s">
        <v>393</v>
      </c>
    </row>
    <row r="12" spans="1:7">
      <c r="A12" s="3" t="s">
        <v>394</v>
      </c>
    </row>
    <row r="14" spans="1:7">
      <c r="A14" s="100" t="s">
        <v>395</v>
      </c>
      <c r="B14" s="101"/>
      <c r="C14" s="101"/>
      <c r="D14" s="101"/>
      <c r="E14" s="101"/>
      <c r="F14" s="101"/>
      <c r="G14" s="101"/>
    </row>
    <row r="15" spans="1:7">
      <c r="A15" s="102" t="s">
        <v>291</v>
      </c>
      <c r="B15" s="102" t="s">
        <v>396</v>
      </c>
      <c r="C15" s="102" t="s">
        <v>397</v>
      </c>
      <c r="D15" s="102" t="s">
        <v>398</v>
      </c>
      <c r="E15" s="102" t="s">
        <v>371</v>
      </c>
      <c r="F15" s="102" t="s">
        <v>399</v>
      </c>
    </row>
    <row r="16" spans="1:7">
      <c r="A16" s="7" t="s">
        <v>375</v>
      </c>
      <c r="B16" s="49">
        <v>55552</v>
      </c>
      <c r="C16" s="104">
        <v>83094</v>
      </c>
      <c r="D16" s="105">
        <v>0.49578773041474661</v>
      </c>
      <c r="E16" s="47">
        <v>0.75</v>
      </c>
      <c r="F16" s="49">
        <v>62320.5</v>
      </c>
    </row>
    <row r="17" spans="1:7">
      <c r="A17" s="7" t="s">
        <v>379</v>
      </c>
      <c r="B17" s="49">
        <v>37256</v>
      </c>
      <c r="C17" s="104">
        <v>69691</v>
      </c>
      <c r="D17" s="105">
        <v>0.87059802447927848</v>
      </c>
      <c r="E17" s="47">
        <v>0.87</v>
      </c>
      <c r="F17" s="49">
        <v>60631.17</v>
      </c>
    </row>
    <row r="18" spans="1:7">
      <c r="A18" s="7" t="s">
        <v>382</v>
      </c>
      <c r="B18" s="49">
        <v>52535</v>
      </c>
      <c r="C18" s="104">
        <v>91447</v>
      </c>
      <c r="D18" s="105">
        <v>0.7406871609403255</v>
      </c>
      <c r="E18" s="47">
        <v>0.75</v>
      </c>
      <c r="F18" s="49">
        <v>68585.25</v>
      </c>
    </row>
    <row r="19" spans="1:7">
      <c r="A19" s="7" t="s">
        <v>386</v>
      </c>
      <c r="B19" s="49">
        <v>82999</v>
      </c>
      <c r="C19" s="104">
        <v>131819</v>
      </c>
      <c r="D19" s="105">
        <v>0.58819985782961237</v>
      </c>
      <c r="E19" s="47">
        <v>0.6</v>
      </c>
      <c r="F19" s="49">
        <v>79091.399999999994</v>
      </c>
    </row>
    <row r="20" spans="1:7">
      <c r="A20" s="7" t="s">
        <v>390</v>
      </c>
      <c r="B20" s="49">
        <v>14933</v>
      </c>
      <c r="C20" s="104">
        <v>48250</v>
      </c>
      <c r="D20" s="105">
        <v>2.2310989084577781</v>
      </c>
      <c r="E20" s="47">
        <v>0.85</v>
      </c>
      <c r="F20" s="49">
        <v>41012.5</v>
      </c>
    </row>
    <row r="21" spans="1:7">
      <c r="A21" s="102" t="s">
        <v>400</v>
      </c>
      <c r="B21" s="106">
        <v>243275</v>
      </c>
      <c r="C21" s="106">
        <v>424301</v>
      </c>
      <c r="D21" s="107">
        <v>0.74412085088891178</v>
      </c>
      <c r="E21" s="108">
        <v>0.73448052208220105</v>
      </c>
      <c r="F21" s="106">
        <v>311640.82</v>
      </c>
    </row>
    <row r="23" spans="1:7">
      <c r="A23" s="100" t="s">
        <v>401</v>
      </c>
      <c r="B23" s="101"/>
      <c r="C23" s="101"/>
      <c r="D23" s="101"/>
      <c r="E23" s="101"/>
      <c r="F23" s="101"/>
      <c r="G23" s="101"/>
    </row>
    <row r="24" spans="1:7">
      <c r="B24" s="102" t="s">
        <v>402</v>
      </c>
      <c r="C24" s="102" t="s">
        <v>403</v>
      </c>
      <c r="D24" s="102" t="s">
        <v>398</v>
      </c>
    </row>
    <row r="25" spans="1:7">
      <c r="A25" s="109" t="s">
        <v>404</v>
      </c>
      <c r="B25" s="49">
        <v>243275</v>
      </c>
      <c r="C25" s="49">
        <v>424301</v>
      </c>
      <c r="D25" s="105">
        <v>0.74412085088891178</v>
      </c>
    </row>
    <row r="26" spans="1:7">
      <c r="A26" s="109" t="s">
        <v>405</v>
      </c>
      <c r="B26" s="49">
        <v>175970.42</v>
      </c>
      <c r="C26" s="49">
        <v>311640.82</v>
      </c>
      <c r="D26" s="105">
        <v>0.77098412335436828</v>
      </c>
    </row>
    <row r="28" spans="1:7">
      <c r="A28" s="7" t="s">
        <v>406</v>
      </c>
      <c r="C28" s="110">
        <v>0.4</v>
      </c>
      <c r="D28" s="3" t="s">
        <v>407</v>
      </c>
    </row>
    <row r="30" spans="1:7">
      <c r="A30" s="7" t="s">
        <v>408</v>
      </c>
      <c r="B30" s="106">
        <v>70388.168000000005</v>
      </c>
      <c r="C30" s="106">
        <v>124656.32799999999</v>
      </c>
    </row>
    <row r="31" spans="1:7">
      <c r="A31" s="109" t="s">
        <v>409</v>
      </c>
      <c r="B31" s="49">
        <v>44797.832000000002</v>
      </c>
      <c r="C31" s="49">
        <v>69080.672000000006</v>
      </c>
      <c r="D31" s="105">
        <v>0.54205391010886417</v>
      </c>
    </row>
    <row r="32" spans="1:7">
      <c r="A32" s="7" t="s">
        <v>410</v>
      </c>
      <c r="B32" s="104">
        <v>115186</v>
      </c>
      <c r="C32" s="104">
        <v>193737</v>
      </c>
      <c r="D32" s="111">
        <v>0.68194919521469621</v>
      </c>
    </row>
    <row r="34" spans="1:7">
      <c r="A34" s="7" t="s">
        <v>411</v>
      </c>
      <c r="B34" s="47">
        <v>0.6110826662962513</v>
      </c>
      <c r="C34" s="112">
        <v>0.64343067147731203</v>
      </c>
      <c r="D34" s="105">
        <v>3.2348005181060728E-2</v>
      </c>
    </row>
    <row r="36" spans="1:7">
      <c r="A36" s="100" t="s">
        <v>412</v>
      </c>
      <c r="B36" s="101"/>
      <c r="C36" s="101"/>
      <c r="D36" s="101"/>
      <c r="E36" s="101"/>
      <c r="F36" s="101"/>
      <c r="G36" s="101"/>
    </row>
    <row r="37" spans="1:7">
      <c r="A37" s="109" t="s">
        <v>413</v>
      </c>
      <c r="B37" s="105">
        <v>0.77098412335436828</v>
      </c>
    </row>
    <row r="38" spans="1:7">
      <c r="A38" s="109" t="s">
        <v>414</v>
      </c>
      <c r="B38" s="105">
        <v>0.68194919521469621</v>
      </c>
    </row>
    <row r="39" spans="1:7">
      <c r="A39" s="7" t="s">
        <v>415</v>
      </c>
      <c r="B39" s="113">
        <v>-8.9034928139672065E-2</v>
      </c>
    </row>
    <row r="40" spans="1:7" ht="51.95" customHeight="1">
      <c r="A40" s="121" t="s">
        <v>416</v>
      </c>
      <c r="B40" s="116"/>
      <c r="C40" s="116"/>
      <c r="D40" s="116"/>
      <c r="E40" s="116"/>
      <c r="F40" s="116"/>
      <c r="G40" s="116"/>
    </row>
    <row r="42" spans="1:7" ht="80.099999999999994" customHeight="1">
      <c r="A42" s="122" t="s">
        <v>417</v>
      </c>
      <c r="B42" s="116"/>
      <c r="C42" s="116"/>
      <c r="D42" s="116"/>
      <c r="E42" s="116"/>
      <c r="F42" s="116"/>
      <c r="G42" s="116"/>
    </row>
  </sheetData>
  <mergeCells count="2">
    <mergeCell ref="A40:G40"/>
    <mergeCell ref="A42:G4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Model</vt:lpstr>
      <vt:lpstr>Drivers</vt:lpstr>
      <vt:lpstr>Scenarios</vt:lpstr>
      <vt:lpstr>DCF</vt:lpstr>
      <vt:lpstr>Reverse DCF</vt:lpstr>
      <vt:lpstr>Monte Carlo</vt:lpstr>
      <vt:lpstr>Comps</vt:lpstr>
      <vt:lpstr>Multiples</vt:lpstr>
      <vt:lpstr>Hyperscaler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cp:lastModifiedBy>
  <dcterms:created xsi:type="dcterms:W3CDTF">2026-04-12T17:51:27Z</dcterms:created>
  <dcterms:modified xsi:type="dcterms:W3CDTF">2026-04-12T18:27:06Z</dcterms:modified>
</cp:coreProperties>
</file>